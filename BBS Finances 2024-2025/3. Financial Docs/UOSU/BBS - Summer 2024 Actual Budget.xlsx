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 2024 Actual Budget" sheetId="1" r:id="rId5"/>
  </sheets>
  <definedNames/>
  <calcPr/>
</workbook>
</file>

<file path=xl/sharedStrings.xml><?xml version="1.0" encoding="utf-8"?>
<sst xmlns="http://schemas.openxmlformats.org/spreadsheetml/2006/main" count="16" uniqueCount="15">
  <si>
    <t>Telfer BIPOC Business Society</t>
  </si>
  <si>
    <t>Summer 2024 Actual Budget</t>
  </si>
  <si>
    <t>Actual Revenue</t>
  </si>
  <si>
    <t>Total</t>
  </si>
  <si>
    <t>Total Revenue</t>
  </si>
  <si>
    <t>Actual Expenses</t>
  </si>
  <si>
    <t>Bank Charge Fees ($6/month)</t>
  </si>
  <si>
    <t>Canva Subscription ($19.99/month)</t>
  </si>
  <si>
    <t>Club Merchandise</t>
  </si>
  <si>
    <t>Total Expenses</t>
  </si>
  <si>
    <t>Total Surplus (Deficit)</t>
  </si>
  <si>
    <t>Prepared by:</t>
  </si>
  <si>
    <t xml:space="preserve">Annie Wang </t>
  </si>
  <si>
    <t xml:space="preserve">Vice President of Finance </t>
  </si>
  <si>
    <t>BIPOC Business Society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</si>
</sst>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.00"/>
  </numFmts>
  <fonts count="10">
    <font>
      <sz val="10.0"/>
      <color rgb="FF000000"/>
      <name val="Arial"/>
      <scheme val="minor"/>
    </font>
    <font>
      <b/>
      <sz val="13.0"/>
      <color theme="1"/>
      <name val="Montserrat"/>
    </font>
    <font>
      <color theme="1"/>
      <name val="Arial"/>
    </font>
    <font>
      <b/>
      <sz val="11.0"/>
      <color rgb="FF222222"/>
      <name val="Montserrat"/>
    </font>
    <font>
      <b/>
      <sz val="18.0"/>
      <color rgb="FFFFFFFF"/>
      <name val="Montserrat"/>
    </font>
    <font/>
    <font>
      <b/>
      <sz val="12.0"/>
      <color theme="1"/>
      <name val="Montserrat"/>
    </font>
    <font>
      <sz val="12.0"/>
      <color theme="1"/>
      <name val="Montserrat"/>
    </font>
    <font>
      <color theme="1"/>
      <name val="Montserrat"/>
    </font>
    <font>
      <b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44302B"/>
        <bgColor rgb="FF44302B"/>
      </patternFill>
    </fill>
    <fill>
      <patternFill patternType="solid">
        <fgColor rgb="FFFCF7F1"/>
        <bgColor rgb="FFFCF7F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6" numFmtId="164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5" fillId="0" fontId="2" numFmtId="165" xfId="0" applyAlignment="1" applyBorder="1" applyFont="1" applyNumberFormat="1">
      <alignment vertical="bottom"/>
    </xf>
    <xf borderId="6" fillId="3" fontId="6" numFmtId="0" xfId="0" applyAlignment="1" applyBorder="1" applyFill="1" applyFont="1">
      <alignment vertical="bottom"/>
    </xf>
    <xf borderId="7" fillId="4" fontId="5" numFmtId="0" xfId="0" applyBorder="1" applyFill="1" applyFont="1"/>
    <xf borderId="7" fillId="3" fontId="2" numFmtId="0" xfId="0" applyAlignment="1" applyBorder="1" applyFont="1">
      <alignment vertical="bottom"/>
    </xf>
    <xf borderId="7" fillId="3" fontId="7" numFmtId="165" xfId="0" applyAlignment="1" applyBorder="1" applyFont="1" applyNumberFormat="1">
      <alignment horizontal="right" vertical="bottom"/>
    </xf>
    <xf borderId="8" fillId="3" fontId="7" numFmtId="165" xfId="0" applyAlignment="1" applyBorder="1" applyFont="1" applyNumberFormat="1">
      <alignment horizontal="right" vertical="bottom"/>
    </xf>
    <xf borderId="4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5" fillId="4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0" fillId="0" fontId="7" numFmtId="165" xfId="0" applyAlignment="1" applyFont="1" applyNumberFormat="1">
      <alignment horizontal="right" vertical="bottom"/>
    </xf>
    <xf borderId="5" fillId="0" fontId="7" numFmtId="165" xfId="0" applyAlignment="1" applyBorder="1" applyFont="1" applyNumberFormat="1">
      <alignment horizontal="right" vertical="bottom"/>
    </xf>
    <xf borderId="4" fillId="5" fontId="2" numFmtId="0" xfId="0" applyAlignment="1" applyBorder="1" applyFill="1" applyFont="1">
      <alignment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vertical="bottom"/>
    </xf>
    <xf borderId="9" fillId="3" fontId="6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1" fillId="3" fontId="6" numFmtId="165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ummer 2024 Actual Budget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18</xdr:row>
      <xdr:rowOff>85725</xdr:rowOff>
    </xdr:from>
    <xdr:ext cx="628650" cy="619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5:J1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ummer 2024 Actual 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4.88"/>
    <col customWidth="1" min="7" max="7" width="15.88"/>
    <col customWidth="1" min="8" max="8" width="13.0"/>
    <col customWidth="1" min="9" max="9" width="14.25"/>
    <col customWidth="1" min="10" max="10" width="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4" t="s">
        <v>1</v>
      </c>
      <c r="B5" s="5"/>
      <c r="C5" s="5"/>
      <c r="D5" s="5"/>
      <c r="E5" s="5"/>
      <c r="F5" s="5"/>
      <c r="G5" s="5"/>
      <c r="H5" s="5"/>
      <c r="I5" s="5"/>
      <c r="J5" s="6"/>
    </row>
    <row r="6">
      <c r="A6" s="7" t="s">
        <v>2</v>
      </c>
      <c r="B6" s="8"/>
      <c r="C6" s="8"/>
      <c r="D6" s="8"/>
      <c r="E6" s="8"/>
      <c r="F6" s="9">
        <v>45413.0</v>
      </c>
      <c r="G6" s="9">
        <v>45444.0</v>
      </c>
      <c r="H6" s="9">
        <v>45474.0</v>
      </c>
      <c r="I6" s="9">
        <v>45505.0</v>
      </c>
      <c r="J6" s="10" t="s">
        <v>3</v>
      </c>
    </row>
    <row r="7">
      <c r="A7" s="11"/>
      <c r="B7" s="2"/>
      <c r="C7" s="2"/>
      <c r="D7" s="2"/>
      <c r="E7" s="2"/>
      <c r="F7" s="12"/>
      <c r="G7" s="12"/>
      <c r="H7" s="12"/>
      <c r="I7" s="12"/>
      <c r="J7" s="13"/>
    </row>
    <row r="8">
      <c r="A8" s="14" t="s">
        <v>4</v>
      </c>
      <c r="B8" s="15"/>
      <c r="C8" s="15"/>
      <c r="D8" s="16"/>
      <c r="E8" s="16"/>
      <c r="F8" s="17">
        <f t="shared" ref="F8:J8" si="1">sum(F7)</f>
        <v>0</v>
      </c>
      <c r="G8" s="17">
        <f t="shared" si="1"/>
        <v>0</v>
      </c>
      <c r="H8" s="17">
        <f t="shared" si="1"/>
        <v>0</v>
      </c>
      <c r="I8" s="17">
        <f t="shared" si="1"/>
        <v>0</v>
      </c>
      <c r="J8" s="18">
        <f t="shared" si="1"/>
        <v>0</v>
      </c>
    </row>
    <row r="9">
      <c r="A9" s="19"/>
      <c r="B9" s="20"/>
      <c r="C9" s="20"/>
      <c r="D9" s="20"/>
      <c r="E9" s="20"/>
      <c r="F9" s="20"/>
      <c r="G9" s="20"/>
      <c r="H9" s="20"/>
      <c r="I9" s="20"/>
      <c r="J9" s="21"/>
    </row>
    <row r="10">
      <c r="A10" s="22" t="s">
        <v>5</v>
      </c>
      <c r="B10" s="2"/>
      <c r="C10" s="2"/>
      <c r="D10" s="2"/>
      <c r="E10" s="2"/>
      <c r="F10" s="12"/>
      <c r="G10" s="12"/>
      <c r="H10" s="12"/>
      <c r="I10" s="12"/>
      <c r="J10" s="13"/>
    </row>
    <row r="11">
      <c r="A11" s="23" t="s">
        <v>6</v>
      </c>
      <c r="B11" s="2"/>
      <c r="C11" s="2"/>
      <c r="D11" s="2"/>
      <c r="E11" s="2"/>
      <c r="F11" s="24">
        <v>6.0</v>
      </c>
      <c r="G11" s="24">
        <v>6.0</v>
      </c>
      <c r="H11" s="24">
        <v>6.0</v>
      </c>
      <c r="I11" s="24">
        <v>6.0</v>
      </c>
      <c r="J11" s="25">
        <f t="shared" ref="J11:J13" si="2">sum(F11:I11)</f>
        <v>24</v>
      </c>
    </row>
    <row r="12">
      <c r="A12" s="23" t="s">
        <v>7</v>
      </c>
      <c r="B12" s="2"/>
      <c r="C12" s="2"/>
      <c r="D12" s="2"/>
      <c r="E12" s="2"/>
      <c r="F12" s="24">
        <v>19.99</v>
      </c>
      <c r="G12" s="24">
        <v>19.99</v>
      </c>
      <c r="H12" s="24">
        <v>19.99</v>
      </c>
      <c r="I12" s="24">
        <v>19.99</v>
      </c>
      <c r="J12" s="25">
        <f t="shared" si="2"/>
        <v>79.96</v>
      </c>
    </row>
    <row r="13">
      <c r="A13" s="23" t="s">
        <v>8</v>
      </c>
      <c r="B13" s="2"/>
      <c r="C13" s="2"/>
      <c r="D13" s="2"/>
      <c r="E13" s="2"/>
      <c r="F13" s="12"/>
      <c r="G13" s="12"/>
      <c r="H13" s="12"/>
      <c r="I13" s="24">
        <v>545.96</v>
      </c>
      <c r="J13" s="25">
        <f t="shared" si="2"/>
        <v>545.96</v>
      </c>
    </row>
    <row r="14">
      <c r="A14" s="11"/>
      <c r="B14" s="2"/>
      <c r="C14" s="2"/>
      <c r="D14" s="2"/>
      <c r="E14" s="2"/>
      <c r="F14" s="12"/>
      <c r="G14" s="12"/>
      <c r="H14" s="12"/>
      <c r="I14" s="12"/>
      <c r="J14" s="13"/>
    </row>
    <row r="15">
      <c r="A15" s="14" t="s">
        <v>9</v>
      </c>
      <c r="B15" s="16"/>
      <c r="C15" s="16"/>
      <c r="D15" s="16"/>
      <c r="E15" s="16"/>
      <c r="F15" s="17">
        <f t="shared" ref="F15:I15" si="3">sum(F9:F14)</f>
        <v>25.99</v>
      </c>
      <c r="G15" s="17">
        <f t="shared" si="3"/>
        <v>25.99</v>
      </c>
      <c r="H15" s="17">
        <f t="shared" si="3"/>
        <v>25.99</v>
      </c>
      <c r="I15" s="17">
        <f t="shared" si="3"/>
        <v>571.95</v>
      </c>
      <c r="J15" s="18">
        <f>sum(F15:I15)</f>
        <v>649.92</v>
      </c>
    </row>
    <row r="16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>
      <c r="A17" s="29" t="s">
        <v>10</v>
      </c>
      <c r="B17" s="30"/>
      <c r="C17" s="30"/>
      <c r="D17" s="30"/>
      <c r="E17" s="30"/>
      <c r="F17" s="30"/>
      <c r="G17" s="30"/>
      <c r="H17" s="30"/>
      <c r="I17" s="30"/>
      <c r="J17" s="31">
        <f>J8-J15</f>
        <v>-649.92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32" t="s">
        <v>11</v>
      </c>
      <c r="B19" s="2"/>
      <c r="C19" s="2"/>
      <c r="D19" s="2"/>
      <c r="E19" s="2"/>
      <c r="F19" s="2"/>
      <c r="G19" s="2"/>
      <c r="H19" s="2"/>
      <c r="I19" s="2"/>
      <c r="J19" s="2"/>
    </row>
    <row r="20">
      <c r="A20" s="33" t="s">
        <v>12</v>
      </c>
      <c r="B20" s="2"/>
      <c r="C20" s="2"/>
      <c r="D20" s="2"/>
      <c r="E20" s="2"/>
      <c r="F20" s="2"/>
      <c r="G20" s="2"/>
      <c r="H20" s="2"/>
      <c r="I20" s="2"/>
      <c r="J20" s="2"/>
    </row>
    <row r="21">
      <c r="A21" s="33" t="s">
        <v>13</v>
      </c>
      <c r="B21" s="2"/>
      <c r="C21" s="2"/>
      <c r="D21" s="2"/>
      <c r="E21" s="2"/>
      <c r="F21" s="2"/>
      <c r="G21" s="2"/>
      <c r="H21" s="2"/>
      <c r="I21" s="2"/>
      <c r="J21" s="2"/>
    </row>
    <row r="22">
      <c r="A22" s="33" t="s">
        <v>14</v>
      </c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</sheetData>
  <mergeCells count="2">
    <mergeCell ref="A5:J5"/>
    <mergeCell ref="A8:C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