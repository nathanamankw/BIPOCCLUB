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er 2024 Actual Budgets" sheetId="1" r:id="rId5"/>
    <sheet state="visible" name="Winter 2025 Budget" sheetId="2" r:id="rId6"/>
  </sheets>
  <definedNames/>
  <calcPr/>
</workbook>
</file>

<file path=xl/sharedStrings.xml><?xml version="1.0" encoding="utf-8"?>
<sst xmlns="http://schemas.openxmlformats.org/spreadsheetml/2006/main" count="72" uniqueCount="60">
  <si>
    <t>Telfer BIPOC Business Society</t>
  </si>
  <si>
    <t>Summer 2024 Actual Budget</t>
  </si>
  <si>
    <t>Actual Revenue</t>
  </si>
  <si>
    <t>Total</t>
  </si>
  <si>
    <t>Total Revenue</t>
  </si>
  <si>
    <t>Actual Expenses</t>
  </si>
  <si>
    <t>Bank Charge Fees ($6/month)</t>
  </si>
  <si>
    <t>Canva Subscription ($19.99/month)</t>
  </si>
  <si>
    <t>Club Merchandise</t>
  </si>
  <si>
    <t>Total Expenses</t>
  </si>
  <si>
    <t>Total Surplus (Deficit)</t>
  </si>
  <si>
    <t>Prepared by:</t>
  </si>
  <si>
    <t xml:space="preserve">Annie Wang </t>
  </si>
  <si>
    <t xml:space="preserve">Vice President of Finance </t>
  </si>
  <si>
    <t>BIPOC Business Society</t>
  </si>
  <si>
    <t>UOSU Funding Application - Telfer BIPOC Business Society</t>
  </si>
  <si>
    <t>Winter 2025 Budget</t>
  </si>
  <si>
    <t>Projected Revenue</t>
  </si>
  <si>
    <t>Net Summit - Ticket Sales ($15 per person)</t>
  </si>
  <si>
    <t>Cultural Clothing Networking Event - Ticket Sales ($10 per person)</t>
  </si>
  <si>
    <t>Total Projected Revenue</t>
  </si>
  <si>
    <t>Projected Expenses</t>
  </si>
  <si>
    <t>Net Summit</t>
  </si>
  <si>
    <t>DMS 4101 Room Rental</t>
  </si>
  <si>
    <t>Catering Expenses</t>
  </si>
  <si>
    <t>$200 previously</t>
  </si>
  <si>
    <t xml:space="preserve">Attendee Experience Packages </t>
  </si>
  <si>
    <t>Equipment Expenses</t>
  </si>
  <si>
    <t>Decorations Expenses</t>
  </si>
  <si>
    <t>Nametag Expenses</t>
  </si>
  <si>
    <t>Photographer Expenses</t>
  </si>
  <si>
    <t>Prizes and Speaker Fees</t>
  </si>
  <si>
    <t>Lighting and Backdrop Expenses</t>
  </si>
  <si>
    <t>Event #1 Total</t>
  </si>
  <si>
    <t>Meridian Event</t>
  </si>
  <si>
    <t>Food</t>
  </si>
  <si>
    <t>Drink</t>
  </si>
  <si>
    <t>Speaker Fees</t>
  </si>
  <si>
    <t>Nametags</t>
  </si>
  <si>
    <t>Marketing Material</t>
  </si>
  <si>
    <t>Event #2 Total</t>
  </si>
  <si>
    <t>Cultural Clothing Networking Event</t>
  </si>
  <si>
    <t>Decorations Expense</t>
  </si>
  <si>
    <t>Chairs and Table Expenses</t>
  </si>
  <si>
    <t>Venue Rental Fees</t>
  </si>
  <si>
    <t>Marketing Material Expenses</t>
  </si>
  <si>
    <t>Event #3 Total</t>
  </si>
  <si>
    <t>Ottawa Tourism Office Tour</t>
  </si>
  <si>
    <t>Event #4 Total</t>
  </si>
  <si>
    <t>Other Expenses</t>
  </si>
  <si>
    <t>Club Merch</t>
  </si>
  <si>
    <t>Sponsorship Proposal Expenses</t>
  </si>
  <si>
    <t>Events Display</t>
  </si>
  <si>
    <t>Canva Subscription</t>
  </si>
  <si>
    <t>WIX Website Subscription</t>
  </si>
  <si>
    <t>Other Expenses Total</t>
  </si>
  <si>
    <t>Total Projected Expenses</t>
  </si>
  <si>
    <t>Surplus before Funding Grant (Deficit)</t>
  </si>
  <si>
    <t>BIPOC Business Society Grant (Requested)</t>
  </si>
  <si>
    <t>Total Surplus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</si>
</sst>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&quot;$&quot;#,##0.00"/>
    <numFmt numFmtId="166" formatCode="mmm yyyy"/>
  </numFmts>
  <fonts count="11">
    <font>
      <sz val="10.0"/>
      <color rgb="FF000000"/>
      <name val="Arial"/>
      <scheme val="minor"/>
    </font>
    <font>
      <b/>
      <sz val="13.0"/>
      <color theme="1"/>
      <name val="Montserrat"/>
    </font>
    <font>
      <color theme="1"/>
      <name val="Arial"/>
    </font>
    <font>
      <color theme="1"/>
      <name val="Montserrat"/>
    </font>
    <font>
      <b/>
      <sz val="11.0"/>
      <color rgb="FF222222"/>
      <name val="Montserrat"/>
    </font>
    <font>
      <b/>
      <sz val="18.0"/>
      <color rgb="FFFFFFFF"/>
      <name val="Montserrat"/>
    </font>
    <font/>
    <font>
      <b/>
      <sz val="12.0"/>
      <color theme="1"/>
      <name val="Montserrat"/>
    </font>
    <font>
      <sz val="12.0"/>
      <color theme="1"/>
      <name val="Montserrat"/>
    </font>
    <font>
      <b/>
      <color theme="1"/>
      <name val="Montserrat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4302B"/>
        <bgColor rgb="FF44302B"/>
      </patternFill>
    </fill>
    <fill>
      <patternFill patternType="solid">
        <fgColor rgb="FFFCF7F1"/>
        <bgColor rgb="FFFCF7F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A99685"/>
        <bgColor rgb="FFA99685"/>
      </patternFill>
    </fill>
  </fills>
  <borders count="1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vertical="bottom"/>
    </xf>
    <xf borderId="1" fillId="2" fontId="5" numFmtId="0" xfId="0" applyAlignment="1" applyBorder="1" applyFill="1" applyFont="1">
      <alignment horizontal="center" vertical="bottom"/>
    </xf>
    <xf borderId="2" fillId="0" fontId="6" numFmtId="0" xfId="0" applyBorder="1" applyFont="1"/>
    <xf borderId="3" fillId="0" fontId="6" numFmtId="0" xfId="0" applyBorder="1" applyFont="1"/>
    <xf borderId="1" fillId="0" fontId="7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7" numFmtId="164" xfId="0" applyAlignment="1" applyBorder="1" applyFont="1" applyNumberFormat="1">
      <alignment horizontal="center" vertical="bottom"/>
    </xf>
    <xf borderId="3" fillId="0" fontId="7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5" fillId="0" fontId="2" numFmtId="165" xfId="0" applyAlignment="1" applyBorder="1" applyFont="1" applyNumberFormat="1">
      <alignment vertical="bottom"/>
    </xf>
    <xf borderId="6" fillId="3" fontId="7" numFmtId="0" xfId="0" applyAlignment="1" applyBorder="1" applyFill="1" applyFont="1">
      <alignment vertical="bottom"/>
    </xf>
    <xf borderId="7" fillId="4" fontId="6" numFmtId="0" xfId="0" applyBorder="1" applyFill="1" applyFont="1"/>
    <xf borderId="7" fillId="3" fontId="2" numFmtId="0" xfId="0" applyAlignment="1" applyBorder="1" applyFont="1">
      <alignment vertical="bottom"/>
    </xf>
    <xf borderId="7" fillId="3" fontId="8" numFmtId="165" xfId="0" applyAlignment="1" applyBorder="1" applyFont="1" applyNumberFormat="1">
      <alignment horizontal="right" vertical="bottom"/>
    </xf>
    <xf borderId="8" fillId="3" fontId="8" numFmtId="165" xfId="0" applyAlignment="1" applyBorder="1" applyFont="1" applyNumberFormat="1">
      <alignment horizontal="right" vertical="bottom"/>
    </xf>
    <xf borderId="0" fillId="4" fontId="2" numFmtId="0" xfId="0" applyAlignment="1" applyFont="1">
      <alignment vertical="bottom"/>
    </xf>
    <xf borderId="4" fillId="4" fontId="2" numFmtId="0" xfId="0" applyAlignment="1" applyBorder="1" applyFont="1">
      <alignment vertical="bottom"/>
    </xf>
    <xf borderId="5" fillId="4" fontId="2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0" fillId="0" fontId="8" numFmtId="165" xfId="0" applyAlignment="1" applyFont="1" applyNumberFormat="1">
      <alignment horizontal="right" vertical="bottom"/>
    </xf>
    <xf borderId="5" fillId="0" fontId="8" numFmtId="165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4" fillId="5" fontId="2" numFmtId="0" xfId="0" applyAlignment="1" applyBorder="1" applyFill="1" applyFont="1">
      <alignment vertical="bottom"/>
    </xf>
    <xf borderId="0" fillId="5" fontId="2" numFmtId="0" xfId="0" applyAlignment="1" applyFont="1">
      <alignment vertical="bottom"/>
    </xf>
    <xf borderId="5" fillId="5" fontId="2" numFmtId="0" xfId="0" applyAlignment="1" applyBorder="1" applyFont="1">
      <alignment vertical="bottom"/>
    </xf>
    <xf borderId="9" fillId="3" fontId="7" numFmtId="0" xfId="0" applyAlignment="1" applyBorder="1" applyFont="1">
      <alignment vertical="bottom"/>
    </xf>
    <xf borderId="10" fillId="3" fontId="2" numFmtId="0" xfId="0" applyAlignment="1" applyBorder="1" applyFont="1">
      <alignment vertical="bottom"/>
    </xf>
    <xf borderId="11" fillId="3" fontId="7" numFmtId="165" xfId="0" applyAlignment="1" applyBorder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1" fillId="2" fontId="5" numFmtId="0" xfId="0" applyAlignment="1" applyBorder="1" applyFont="1">
      <alignment horizontal="center" readingOrder="0" vertical="bottom"/>
    </xf>
    <xf borderId="2" fillId="0" fontId="7" numFmtId="166" xfId="0" applyAlignment="1" applyBorder="1" applyFont="1" applyNumberFormat="1">
      <alignment horizontal="center" readingOrder="0" vertical="bottom"/>
    </xf>
    <xf borderId="3" fillId="0" fontId="7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10" numFmtId="165" xfId="0" applyAlignment="1" applyFont="1" applyNumberFormat="1">
      <alignment vertical="bottom"/>
    </xf>
    <xf borderId="4" fillId="0" fontId="3" numFmtId="0" xfId="0" applyAlignment="1" applyBorder="1" applyFont="1">
      <alignment readingOrder="0"/>
    </xf>
    <xf borderId="0" fillId="0" fontId="10" numFmtId="0" xfId="0" applyAlignment="1" applyFont="1">
      <alignment vertical="bottom"/>
    </xf>
    <xf borderId="0" fillId="0" fontId="8" numFmtId="165" xfId="0" applyAlignment="1" applyFont="1" applyNumberFormat="1">
      <alignment vertical="bottom"/>
    </xf>
    <xf borderId="12" fillId="3" fontId="7" numFmtId="0" xfId="0" applyAlignment="1" applyBorder="1" applyFont="1">
      <alignment vertical="bottom"/>
    </xf>
    <xf borderId="7" fillId="3" fontId="2" numFmtId="165" xfId="0" applyAlignment="1" applyBorder="1" applyFont="1" applyNumberFormat="1">
      <alignment vertical="bottom"/>
    </xf>
    <xf borderId="8" fillId="3" fontId="7" numFmtId="165" xfId="0" applyAlignment="1" applyBorder="1" applyFont="1" applyNumberFormat="1">
      <alignment horizontal="right" vertical="bottom"/>
    </xf>
    <xf borderId="12" fillId="5" fontId="2" numFmtId="0" xfId="0" applyAlignment="1" applyBorder="1" applyFont="1">
      <alignment vertical="bottom"/>
    </xf>
    <xf borderId="13" fillId="5" fontId="2" numFmtId="0" xfId="0" applyAlignment="1" applyBorder="1" applyFont="1">
      <alignment vertical="bottom"/>
    </xf>
    <xf borderId="13" fillId="0" fontId="10" numFmtId="0" xfId="0" applyAlignment="1" applyBorder="1" applyFont="1">
      <alignment vertical="bottom"/>
    </xf>
    <xf borderId="13" fillId="5" fontId="10" numFmtId="0" xfId="0" applyAlignment="1" applyBorder="1" applyFont="1">
      <alignment vertical="bottom"/>
    </xf>
    <xf borderId="5" fillId="5" fontId="10" numFmtId="0" xfId="0" applyAlignment="1" applyBorder="1" applyFont="1">
      <alignment vertical="bottom"/>
    </xf>
    <xf borderId="0" fillId="3" fontId="10" numFmtId="165" xfId="0" applyAlignment="1" applyFont="1" applyNumberFormat="1">
      <alignment vertical="bottom"/>
    </xf>
    <xf borderId="5" fillId="0" fontId="10" numFmtId="165" xfId="0" applyAlignment="1" applyBorder="1" applyFont="1" applyNumberFormat="1">
      <alignment vertical="bottom"/>
    </xf>
    <xf borderId="4" fillId="0" fontId="9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3" fontId="8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13" fillId="0" fontId="8" numFmtId="165" xfId="0" applyAlignment="1" applyBorder="1" applyFont="1" applyNumberFormat="1">
      <alignment horizontal="right" vertical="bottom"/>
    </xf>
    <xf borderId="13" fillId="3" fontId="8" numFmtId="165" xfId="0" applyAlignment="1" applyBorder="1" applyFont="1" applyNumberFormat="1">
      <alignment horizontal="right" vertical="bottom"/>
    </xf>
    <xf borderId="14" fillId="0" fontId="8" numFmtId="165" xfId="0" applyAlignment="1" applyBorder="1" applyFont="1" applyNumberFormat="1">
      <alignment horizontal="right" vertical="bottom"/>
    </xf>
    <xf borderId="4" fillId="6" fontId="2" numFmtId="0" xfId="0" applyAlignment="1" applyBorder="1" applyFill="1" applyFont="1">
      <alignment vertical="bottom"/>
    </xf>
    <xf borderId="0" fillId="6" fontId="2" numFmtId="0" xfId="0" applyAlignment="1" applyFont="1">
      <alignment vertical="bottom"/>
    </xf>
    <xf borderId="0" fillId="6" fontId="10" numFmtId="0" xfId="0" applyAlignment="1" applyFont="1">
      <alignment vertical="bottom"/>
    </xf>
    <xf borderId="5" fillId="6" fontId="10" numFmtId="0" xfId="0" applyAlignment="1" applyBorder="1" applyFont="1">
      <alignment vertical="bottom"/>
    </xf>
    <xf borderId="0" fillId="3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5" fillId="0" fontId="10" numFmtId="0" xfId="0" applyAlignment="1" applyBorder="1" applyFont="1">
      <alignment vertical="bottom"/>
    </xf>
    <xf borderId="0" fillId="3" fontId="8" numFmtId="165" xfId="0" applyAlignment="1" applyFont="1" applyNumberFormat="1">
      <alignment horizontal="right" readingOrder="0" vertical="bottom"/>
    </xf>
    <xf borderId="0" fillId="3" fontId="10" numFmtId="0" xfId="0" applyAlignment="1" applyFont="1">
      <alignment readingOrder="0" vertical="bottom"/>
    </xf>
    <xf borderId="4" fillId="0" fontId="9" numFmtId="0" xfId="0" applyAlignment="1" applyBorder="1" applyFont="1">
      <alignment vertical="bottom"/>
    </xf>
    <xf borderId="0" fillId="0" fontId="8" numFmtId="165" xfId="0" applyAlignment="1" applyFont="1" applyNumberFormat="1">
      <alignment horizontal="right" readingOrder="0" vertical="bottom"/>
    </xf>
    <xf borderId="13" fillId="3" fontId="2" numFmtId="0" xfId="0" applyAlignment="1" applyBorder="1" applyFont="1">
      <alignment vertical="bottom"/>
    </xf>
    <xf borderId="14" fillId="3" fontId="7" numFmtId="165" xfId="0" applyAlignment="1" applyBorder="1" applyFont="1" applyNumberFormat="1">
      <alignment horizontal="right" vertical="bottom"/>
    </xf>
    <xf borderId="12" fillId="5" fontId="2" numFmtId="0" xfId="0" applyAlignment="1" applyBorder="1" applyFont="1">
      <alignment vertical="bottom"/>
    </xf>
    <xf borderId="13" fillId="5" fontId="2" numFmtId="0" xfId="0" applyAlignment="1" applyBorder="1" applyFont="1">
      <alignment vertical="bottom"/>
    </xf>
    <xf borderId="14" fillId="5" fontId="2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5" fillId="0" fontId="8" numFmtId="165" xfId="0" applyAlignment="1" applyBorder="1" applyFont="1" applyNumberFormat="1">
      <alignment horizontal="right" readingOrder="0" vertical="bottom"/>
    </xf>
    <xf borderId="9" fillId="3" fontId="7" numFmtId="0" xfId="0" applyAlignment="1" applyBorder="1" applyFont="1">
      <alignment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Summer 2024 Actual Budgets-style">
      <tableStyleElement dxfId="1" type="firstRowStripe"/>
      <tableStyleElement dxfId="1" type="secondRowStripe"/>
    </tableStyle>
    <tableStyle count="2" pivot="0" name="Winter 2025 Budget-style">
      <tableStyleElement dxfId="1" type="firstRowStripe"/>
      <tableStyleElement dxfId="1" type="secondRowStripe"/>
    </tableStyle>
    <tableStyle count="2" pivot="0" name="Winter 2025 Budget-style 2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942975</xdr:colOff>
      <xdr:row>17</xdr:row>
      <xdr:rowOff>180975</xdr:rowOff>
    </xdr:from>
    <xdr:ext cx="723900" cy="72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59</xdr:row>
      <xdr:rowOff>180975</xdr:rowOff>
    </xdr:from>
    <xdr:ext cx="723900" cy="72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15:J15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ummer 2024 Actual Budgets-style" showColumnStripes="0" showFirstColumn="1" showLastColumn="1" showRowStripes="1"/>
</table>
</file>

<file path=xl/tables/table2.xml><?xml version="1.0" encoding="utf-8"?>
<table xmlns="http://schemas.openxmlformats.org/spreadsheetml/2006/main" headerRowCount="0" ref="A9:J10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Winter 2025 Budget-style" showColumnStripes="0" showFirstColumn="1" showLastColumn="1" showRowStripes="1"/>
</table>
</file>

<file path=xl/tables/table3.xml><?xml version="1.0" encoding="utf-8"?>
<table xmlns="http://schemas.openxmlformats.org/spreadsheetml/2006/main" headerRowCount="0" ref="F55:J55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Winter 2025 Budge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9" width="15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</v>
      </c>
      <c r="B5" s="6"/>
      <c r="C5" s="6"/>
      <c r="D5" s="6"/>
      <c r="E5" s="6"/>
      <c r="F5" s="6"/>
      <c r="G5" s="6"/>
      <c r="H5" s="6"/>
      <c r="I5" s="6"/>
      <c r="J5" s="7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2</v>
      </c>
      <c r="B6" s="9"/>
      <c r="C6" s="9"/>
      <c r="D6" s="9"/>
      <c r="E6" s="9"/>
      <c r="F6" s="10">
        <v>45413.0</v>
      </c>
      <c r="G6" s="10">
        <v>45444.0</v>
      </c>
      <c r="H6" s="10">
        <v>45474.0</v>
      </c>
      <c r="I6" s="10">
        <v>45505.0</v>
      </c>
      <c r="J6" s="11" t="s">
        <v>3</v>
      </c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/>
      <c r="B7" s="2"/>
      <c r="C7" s="2"/>
      <c r="D7" s="2"/>
      <c r="E7" s="2"/>
      <c r="F7" s="13"/>
      <c r="G7" s="13"/>
      <c r="H7" s="13"/>
      <c r="I7" s="13"/>
      <c r="J7" s="14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5" t="s">
        <v>4</v>
      </c>
      <c r="B8" s="16"/>
      <c r="C8" s="16"/>
      <c r="D8" s="17"/>
      <c r="E8" s="17"/>
      <c r="F8" s="18">
        <f t="shared" ref="F8:J8" si="1">sum(F7)</f>
        <v>0</v>
      </c>
      <c r="G8" s="18">
        <f t="shared" si="1"/>
        <v>0</v>
      </c>
      <c r="H8" s="18">
        <f t="shared" si="1"/>
        <v>0</v>
      </c>
      <c r="I8" s="18">
        <f t="shared" si="1"/>
        <v>0</v>
      </c>
      <c r="J8" s="19">
        <f t="shared" si="1"/>
        <v>0</v>
      </c>
      <c r="K8" s="2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1"/>
      <c r="B9" s="20"/>
      <c r="C9" s="20"/>
      <c r="D9" s="20"/>
      <c r="E9" s="20"/>
      <c r="F9" s="20"/>
      <c r="G9" s="20"/>
      <c r="H9" s="20"/>
      <c r="I9" s="20"/>
      <c r="J9" s="2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3" t="s">
        <v>5</v>
      </c>
      <c r="B10" s="2"/>
      <c r="C10" s="2"/>
      <c r="D10" s="2"/>
      <c r="E10" s="2"/>
      <c r="F10" s="13"/>
      <c r="G10" s="13"/>
      <c r="H10" s="13"/>
      <c r="I10" s="13"/>
      <c r="J10" s="14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4" t="s">
        <v>6</v>
      </c>
      <c r="B11" s="2"/>
      <c r="C11" s="2"/>
      <c r="D11" s="2"/>
      <c r="E11" s="2"/>
      <c r="F11" s="25">
        <v>6.0</v>
      </c>
      <c r="G11" s="25">
        <v>6.0</v>
      </c>
      <c r="H11" s="25">
        <v>6.0</v>
      </c>
      <c r="I11" s="25">
        <v>6.0</v>
      </c>
      <c r="J11" s="26">
        <f t="shared" ref="J11:J13" si="2">sum(F11:I11)</f>
        <v>24</v>
      </c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7" t="s">
        <v>7</v>
      </c>
      <c r="B12" s="2"/>
      <c r="C12" s="2"/>
      <c r="D12" s="2"/>
      <c r="E12" s="2"/>
      <c r="F12" s="25">
        <v>19.99</v>
      </c>
      <c r="G12" s="25">
        <v>19.99</v>
      </c>
      <c r="H12" s="25">
        <v>19.99</v>
      </c>
      <c r="I12" s="25">
        <v>19.99</v>
      </c>
      <c r="J12" s="26">
        <f t="shared" si="2"/>
        <v>79.96</v>
      </c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4" t="s">
        <v>8</v>
      </c>
      <c r="B13" s="2"/>
      <c r="C13" s="2"/>
      <c r="D13" s="2"/>
      <c r="E13" s="2"/>
      <c r="F13" s="13"/>
      <c r="G13" s="13"/>
      <c r="H13" s="13"/>
      <c r="I13" s="25">
        <v>545.96</v>
      </c>
      <c r="J13" s="26">
        <f t="shared" si="2"/>
        <v>545.96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/>
      <c r="B14" s="2"/>
      <c r="C14" s="2"/>
      <c r="D14" s="2"/>
      <c r="E14" s="2"/>
      <c r="F14" s="13"/>
      <c r="G14" s="13"/>
      <c r="H14" s="13"/>
      <c r="I14" s="13"/>
      <c r="J14" s="14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 t="s">
        <v>9</v>
      </c>
      <c r="B15" s="17"/>
      <c r="C15" s="17"/>
      <c r="D15" s="17"/>
      <c r="E15" s="17"/>
      <c r="F15" s="18">
        <f t="shared" ref="F15:I15" si="3">sum(F9:F14)</f>
        <v>25.99</v>
      </c>
      <c r="G15" s="18">
        <f t="shared" si="3"/>
        <v>25.99</v>
      </c>
      <c r="H15" s="18">
        <f t="shared" si="3"/>
        <v>25.99</v>
      </c>
      <c r="I15" s="18">
        <f t="shared" si="3"/>
        <v>571.95</v>
      </c>
      <c r="J15" s="19">
        <f>sum(F15:I15)</f>
        <v>649.92</v>
      </c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8"/>
      <c r="B16" s="29"/>
      <c r="C16" s="29"/>
      <c r="D16" s="29"/>
      <c r="E16" s="29"/>
      <c r="F16" s="29"/>
      <c r="G16" s="29"/>
      <c r="H16" s="29"/>
      <c r="I16" s="29"/>
      <c r="J16" s="30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1" t="s">
        <v>10</v>
      </c>
      <c r="B17" s="32"/>
      <c r="C17" s="32"/>
      <c r="D17" s="32"/>
      <c r="E17" s="32"/>
      <c r="F17" s="32"/>
      <c r="G17" s="32"/>
      <c r="H17" s="32"/>
      <c r="I17" s="32"/>
      <c r="J17" s="33">
        <f>J8-J15</f>
        <v>-649.92</v>
      </c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34" t="s">
        <v>11</v>
      </c>
      <c r="B19" s="2"/>
      <c r="C19" s="2"/>
      <c r="D19" s="2"/>
      <c r="E19" s="2"/>
      <c r="F19" s="2"/>
      <c r="G19" s="2"/>
      <c r="H19" s="2"/>
      <c r="I19" s="2"/>
      <c r="J19" s="2"/>
    </row>
    <row r="20">
      <c r="A20" s="35" t="s">
        <v>12</v>
      </c>
      <c r="B20" s="2"/>
      <c r="D20" s="2"/>
      <c r="E20" s="2"/>
      <c r="F20" s="2"/>
      <c r="G20" s="2"/>
      <c r="H20" s="2"/>
      <c r="I20" s="2"/>
      <c r="J20" s="2"/>
    </row>
    <row r="21">
      <c r="A21" s="35" t="s">
        <v>13</v>
      </c>
      <c r="B21" s="2"/>
      <c r="C21" s="2"/>
      <c r="D21" s="2"/>
      <c r="E21" s="2"/>
      <c r="F21" s="2"/>
      <c r="G21" s="2"/>
      <c r="H21" s="2"/>
      <c r="I21" s="2"/>
      <c r="J21" s="2"/>
    </row>
    <row r="22">
      <c r="A22" s="35" t="s">
        <v>14</v>
      </c>
      <c r="B22" s="2"/>
      <c r="C22" s="2"/>
      <c r="D22" s="2"/>
      <c r="E22" s="2"/>
      <c r="F22" s="2"/>
      <c r="G22" s="2"/>
      <c r="H22" s="2"/>
      <c r="I22" s="2"/>
      <c r="J22" s="2"/>
    </row>
  </sheetData>
  <mergeCells count="2">
    <mergeCell ref="A5:J5"/>
    <mergeCell ref="A8:C8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33.63"/>
  </cols>
  <sheetData>
    <row r="1">
      <c r="A1" s="36" t="s">
        <v>15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7" t="s">
        <v>16</v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8" t="s">
        <v>16</v>
      </c>
      <c r="B4" s="6"/>
      <c r="C4" s="6"/>
      <c r="D4" s="6"/>
      <c r="E4" s="6"/>
      <c r="F4" s="6"/>
      <c r="G4" s="6"/>
      <c r="H4" s="6"/>
      <c r="I4" s="6"/>
      <c r="J4" s="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17</v>
      </c>
      <c r="B5" s="9"/>
      <c r="C5" s="9"/>
      <c r="D5" s="9"/>
      <c r="E5" s="9"/>
      <c r="F5" s="39">
        <v>45658.0</v>
      </c>
      <c r="G5" s="39">
        <v>45689.0</v>
      </c>
      <c r="H5" s="39">
        <v>45352.0</v>
      </c>
      <c r="I5" s="39">
        <v>45748.0</v>
      </c>
      <c r="J5" s="40" t="s">
        <v>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1" t="s">
        <v>18</v>
      </c>
      <c r="B6" s="42"/>
      <c r="C6" s="2"/>
      <c r="D6" s="2"/>
      <c r="E6" s="2"/>
      <c r="F6" s="25"/>
      <c r="G6" s="43">
        <v>2250.0</v>
      </c>
      <c r="H6" s="3"/>
      <c r="I6" s="44"/>
      <c r="J6" s="2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5" t="s">
        <v>19</v>
      </c>
      <c r="B7" s="42"/>
      <c r="C7" s="2"/>
      <c r="D7" s="2"/>
      <c r="E7" s="2"/>
      <c r="F7" s="46"/>
      <c r="G7" s="25"/>
      <c r="H7" s="43">
        <f>10*40</f>
        <v>400</v>
      </c>
      <c r="I7" s="44"/>
      <c r="J7" s="2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7"/>
      <c r="B8" s="2"/>
      <c r="C8" s="2"/>
      <c r="D8" s="2"/>
      <c r="E8" s="2"/>
      <c r="F8" s="25"/>
      <c r="G8" s="47"/>
      <c r="H8" s="47"/>
      <c r="I8" s="44"/>
      <c r="J8" s="2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8" t="s">
        <v>20</v>
      </c>
      <c r="B9" s="49"/>
      <c r="C9" s="49"/>
      <c r="D9" s="49"/>
      <c r="E9" s="49"/>
      <c r="F9" s="18">
        <f t="shared" ref="F9:I9" si="1">sum(F6:F8)</f>
        <v>0</v>
      </c>
      <c r="G9" s="18">
        <f t="shared" si="1"/>
        <v>2250</v>
      </c>
      <c r="H9" s="18">
        <f t="shared" si="1"/>
        <v>400</v>
      </c>
      <c r="I9" s="18">
        <f t="shared" si="1"/>
        <v>0</v>
      </c>
      <c r="J9" s="50">
        <f>sum(F9:I9)</f>
        <v>2650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1"/>
      <c r="B10" s="52"/>
      <c r="C10" s="52"/>
      <c r="D10" s="52"/>
      <c r="E10" s="52"/>
      <c r="F10" s="53"/>
      <c r="G10" s="54"/>
      <c r="H10" s="54"/>
      <c r="I10" s="54"/>
      <c r="J10" s="55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3" t="s">
        <v>21</v>
      </c>
      <c r="B11" s="2"/>
      <c r="C11" s="2"/>
      <c r="D11" s="2"/>
      <c r="E11" s="2"/>
      <c r="F11" s="44"/>
      <c r="G11" s="44"/>
      <c r="H11" s="56"/>
      <c r="I11" s="44"/>
      <c r="J11" s="5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8" t="s">
        <v>22</v>
      </c>
      <c r="B12" s="2"/>
      <c r="C12" s="2"/>
      <c r="D12" s="2"/>
      <c r="E12" s="59"/>
      <c r="F12" s="44"/>
      <c r="G12" s="44"/>
      <c r="H12" s="56"/>
      <c r="I12" s="44"/>
      <c r="J12" s="5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1" t="s">
        <v>23</v>
      </c>
      <c r="B13" s="42"/>
      <c r="C13" s="2"/>
      <c r="D13" s="2"/>
      <c r="E13" s="59"/>
      <c r="F13" s="25"/>
      <c r="G13" s="44"/>
      <c r="H13" s="60">
        <v>1500.0</v>
      </c>
      <c r="I13" s="44"/>
      <c r="J13" s="2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1" t="s">
        <v>24</v>
      </c>
      <c r="B14" s="42"/>
      <c r="C14" s="2"/>
      <c r="D14" s="2"/>
      <c r="E14" s="59"/>
      <c r="F14" s="25"/>
      <c r="G14" s="44"/>
      <c r="H14" s="60">
        <v>3300.0</v>
      </c>
      <c r="I14" s="44"/>
      <c r="J14" s="26"/>
      <c r="K14" s="61" t="s">
        <v>25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1" t="s">
        <v>26</v>
      </c>
      <c r="B15" s="42"/>
      <c r="C15" s="2"/>
      <c r="D15" s="2"/>
      <c r="E15" s="59"/>
      <c r="F15" s="25"/>
      <c r="G15" s="44"/>
      <c r="H15" s="60">
        <v>300.0</v>
      </c>
      <c r="I15" s="44"/>
      <c r="J15" s="2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1" t="s">
        <v>27</v>
      </c>
      <c r="B16" s="42"/>
      <c r="C16" s="2"/>
      <c r="D16" s="2"/>
      <c r="E16" s="59"/>
      <c r="F16" s="25"/>
      <c r="G16" s="44"/>
      <c r="H16" s="60">
        <v>50.0</v>
      </c>
      <c r="I16" s="44"/>
      <c r="J16" s="2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1" t="s">
        <v>28</v>
      </c>
      <c r="B17" s="42"/>
      <c r="C17" s="2"/>
      <c r="D17" s="2"/>
      <c r="E17" s="59"/>
      <c r="F17" s="25"/>
      <c r="G17" s="44"/>
      <c r="H17" s="60">
        <v>300.0</v>
      </c>
      <c r="I17" s="44"/>
      <c r="J17" s="2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1" t="s">
        <v>29</v>
      </c>
      <c r="B18" s="42"/>
      <c r="C18" s="2"/>
      <c r="D18" s="2"/>
      <c r="E18" s="59"/>
      <c r="F18" s="25"/>
      <c r="G18" s="44"/>
      <c r="H18" s="60">
        <v>100.0</v>
      </c>
      <c r="I18" s="44"/>
      <c r="J18" s="2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1" t="s">
        <v>30</v>
      </c>
      <c r="B19" s="42"/>
      <c r="C19" s="2"/>
      <c r="D19" s="2"/>
      <c r="E19" s="59"/>
      <c r="F19" s="25"/>
      <c r="G19" s="44"/>
      <c r="H19" s="60">
        <v>500.0</v>
      </c>
      <c r="I19" s="44"/>
      <c r="J19" s="26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1" t="s">
        <v>31</v>
      </c>
      <c r="B20" s="42"/>
      <c r="C20" s="2"/>
      <c r="D20" s="2"/>
      <c r="E20" s="59"/>
      <c r="F20" s="25"/>
      <c r="G20" s="44"/>
      <c r="H20" s="60">
        <v>300.0</v>
      </c>
      <c r="I20" s="44"/>
      <c r="J20" s="26"/>
      <c r="K20" s="6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1" t="s">
        <v>32</v>
      </c>
      <c r="B21" s="2"/>
      <c r="C21" s="2"/>
      <c r="D21" s="2"/>
      <c r="E21" s="59"/>
      <c r="F21" s="25"/>
      <c r="G21" s="25"/>
      <c r="H21" s="60">
        <v>75.0</v>
      </c>
      <c r="I21" s="25"/>
      <c r="J21" s="26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8" t="s">
        <v>33</v>
      </c>
      <c r="B22" s="2"/>
      <c r="C22" s="2"/>
      <c r="D22" s="2"/>
      <c r="E22" s="59"/>
      <c r="F22" s="62">
        <f t="shared" ref="F22:G22" si="2">sum(F13:F20)</f>
        <v>0</v>
      </c>
      <c r="G22" s="62">
        <f t="shared" si="2"/>
        <v>0</v>
      </c>
      <c r="H22" s="63">
        <f>sum(H13:H21)</f>
        <v>6425</v>
      </c>
      <c r="I22" s="62">
        <f>sum(I13:I20)</f>
        <v>0</v>
      </c>
      <c r="J22" s="64">
        <f>sum(F22:I22)</f>
        <v>6425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5"/>
      <c r="B23" s="66"/>
      <c r="C23" s="66"/>
      <c r="D23" s="66"/>
      <c r="E23" s="66"/>
      <c r="F23" s="67"/>
      <c r="G23" s="67"/>
      <c r="H23" s="67"/>
      <c r="I23" s="67"/>
      <c r="J23" s="6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8" t="s">
        <v>34</v>
      </c>
      <c r="B24" s="2"/>
      <c r="C24" s="2"/>
      <c r="D24" s="2"/>
      <c r="E24" s="2"/>
      <c r="F24" s="46"/>
      <c r="G24" s="69"/>
      <c r="H24" s="70"/>
      <c r="I24" s="46"/>
      <c r="J24" s="7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1" t="s">
        <v>35</v>
      </c>
      <c r="B25" s="42"/>
      <c r="C25" s="2"/>
      <c r="D25" s="2"/>
      <c r="E25" s="2"/>
      <c r="F25" s="44"/>
      <c r="G25" s="60">
        <v>100.0</v>
      </c>
      <c r="I25" s="25"/>
      <c r="J25" s="5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1" t="s">
        <v>36</v>
      </c>
      <c r="B26" s="42"/>
      <c r="C26" s="2"/>
      <c r="D26" s="2"/>
      <c r="E26" s="2"/>
      <c r="F26" s="44"/>
      <c r="G26" s="60">
        <v>50.0</v>
      </c>
      <c r="I26" s="25"/>
      <c r="J26" s="5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1" t="s">
        <v>37</v>
      </c>
      <c r="B27" s="59"/>
      <c r="C27" s="2"/>
      <c r="D27" s="2"/>
      <c r="E27" s="13"/>
      <c r="G27" s="60">
        <v>100.0</v>
      </c>
      <c r="H27" s="44"/>
      <c r="I27" s="25"/>
      <c r="J27" s="5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1" t="s">
        <v>38</v>
      </c>
      <c r="B28" s="59"/>
      <c r="C28" s="2"/>
      <c r="D28" s="2"/>
      <c r="E28" s="13"/>
      <c r="G28" s="60">
        <v>30.0</v>
      </c>
      <c r="H28" s="44"/>
      <c r="I28" s="25"/>
      <c r="J28" s="5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1" t="s">
        <v>39</v>
      </c>
      <c r="B29" s="59"/>
      <c r="C29" s="2"/>
      <c r="D29" s="2"/>
      <c r="E29" s="13"/>
      <c r="G29" s="60">
        <v>20.0</v>
      </c>
      <c r="H29" s="44"/>
      <c r="I29" s="25"/>
      <c r="J29" s="5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8" t="s">
        <v>40</v>
      </c>
      <c r="B30" s="2"/>
      <c r="C30" s="2"/>
      <c r="D30" s="2"/>
      <c r="E30" s="2"/>
      <c r="F30" s="62">
        <f>sum(F25:F28)</f>
        <v>0</v>
      </c>
      <c r="G30" s="63">
        <f>sum(G25:G29)</f>
        <v>300</v>
      </c>
      <c r="H30" s="62">
        <f>sum(H25:H28)</f>
        <v>0</v>
      </c>
      <c r="I30" s="62">
        <f>sum(I25:I29)</f>
        <v>0</v>
      </c>
      <c r="J30" s="64">
        <f>sum(F30:I30)</f>
        <v>300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5"/>
      <c r="B31" s="66"/>
      <c r="C31" s="66"/>
      <c r="D31" s="66"/>
      <c r="E31" s="66"/>
      <c r="F31" s="67"/>
      <c r="G31" s="67"/>
      <c r="H31" s="67"/>
      <c r="I31" s="67"/>
      <c r="J31" s="6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8" t="s">
        <v>41</v>
      </c>
      <c r="B32" s="2"/>
      <c r="C32" s="2"/>
      <c r="D32" s="2"/>
      <c r="E32" s="2"/>
      <c r="F32" s="60"/>
      <c r="G32" s="46"/>
      <c r="H32" s="46"/>
      <c r="I32" s="46"/>
      <c r="J32" s="7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1" t="s">
        <v>24</v>
      </c>
      <c r="B33" s="42"/>
      <c r="C33" s="2"/>
      <c r="D33" s="2"/>
      <c r="E33" s="2"/>
      <c r="F33" s="72">
        <v>400.0</v>
      </c>
      <c r="G33" s="44"/>
      <c r="H33" s="25"/>
      <c r="J33" s="5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1" t="s">
        <v>42</v>
      </c>
      <c r="B34" s="42"/>
      <c r="C34" s="2"/>
      <c r="D34" s="2"/>
      <c r="E34" s="2"/>
      <c r="F34" s="60">
        <v>50.0</v>
      </c>
      <c r="G34" s="44"/>
      <c r="H34" s="25"/>
      <c r="J34" s="5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1" t="s">
        <v>43</v>
      </c>
      <c r="B35" s="42"/>
      <c r="C35" s="2"/>
      <c r="D35" s="2"/>
      <c r="E35" s="2"/>
      <c r="F35" s="72">
        <v>100.0</v>
      </c>
      <c r="G35" s="44"/>
      <c r="H35" s="25"/>
      <c r="J35" s="5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1" t="s">
        <v>44</v>
      </c>
      <c r="B36" s="42"/>
      <c r="C36" s="2"/>
      <c r="D36" s="2"/>
      <c r="E36" s="2"/>
      <c r="F36" s="60">
        <v>250.0</v>
      </c>
      <c r="G36" s="44"/>
      <c r="H36" s="25"/>
      <c r="J36" s="5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1" t="s">
        <v>45</v>
      </c>
      <c r="B37" s="42"/>
      <c r="C37" s="2"/>
      <c r="D37" s="2"/>
      <c r="E37" s="2"/>
      <c r="F37" s="60">
        <v>20.0</v>
      </c>
      <c r="G37" s="44"/>
      <c r="H37" s="25"/>
      <c r="J37" s="5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8" t="s">
        <v>46</v>
      </c>
      <c r="B38" s="2"/>
      <c r="C38" s="2"/>
      <c r="D38" s="2"/>
      <c r="E38" s="2"/>
      <c r="F38" s="63">
        <f t="shared" ref="F38:I38" si="3">sum(F33:F37)</f>
        <v>820</v>
      </c>
      <c r="G38" s="62">
        <f t="shared" si="3"/>
        <v>0</v>
      </c>
      <c r="H38" s="62">
        <f t="shared" si="3"/>
        <v>0</v>
      </c>
      <c r="I38" s="62">
        <f t="shared" si="3"/>
        <v>0</v>
      </c>
      <c r="J38" s="64">
        <f>sum(F38:I38)</f>
        <v>820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5"/>
      <c r="B39" s="66"/>
      <c r="C39" s="66"/>
      <c r="D39" s="66"/>
      <c r="E39" s="66"/>
      <c r="F39" s="67"/>
      <c r="G39" s="67"/>
      <c r="H39" s="67"/>
      <c r="I39" s="67"/>
      <c r="J39" s="6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8" t="s">
        <v>47</v>
      </c>
      <c r="B40" s="2"/>
      <c r="C40" s="2"/>
      <c r="D40" s="2"/>
      <c r="E40" s="2"/>
      <c r="F40" s="46"/>
      <c r="H40" s="73"/>
      <c r="I40" s="46"/>
      <c r="J40" s="7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7" t="s">
        <v>37</v>
      </c>
      <c r="C41" s="2"/>
      <c r="D41" s="2"/>
      <c r="E41" s="2"/>
      <c r="F41" s="13"/>
      <c r="H41" s="60">
        <v>100.0</v>
      </c>
      <c r="I41" s="44"/>
      <c r="J41" s="5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7" t="s">
        <v>38</v>
      </c>
      <c r="C42" s="2"/>
      <c r="D42" s="2"/>
      <c r="E42" s="2"/>
      <c r="F42" s="13"/>
      <c r="H42" s="60">
        <v>30.0</v>
      </c>
      <c r="I42" s="44"/>
      <c r="J42" s="5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7" t="s">
        <v>39</v>
      </c>
      <c r="C43" s="2"/>
      <c r="D43" s="2"/>
      <c r="E43" s="2"/>
      <c r="F43" s="13"/>
      <c r="H43" s="60">
        <v>20.0</v>
      </c>
      <c r="I43" s="44"/>
      <c r="J43" s="5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8" t="s">
        <v>48</v>
      </c>
      <c r="B44" s="2"/>
      <c r="C44" s="2"/>
      <c r="D44" s="2"/>
      <c r="E44" s="2"/>
      <c r="F44" s="62">
        <f>sum(F41:F42)</f>
        <v>0</v>
      </c>
      <c r="G44" s="62">
        <f>sum(H41:H42)</f>
        <v>130</v>
      </c>
      <c r="H44" s="63">
        <f>sum(H41:H43)</f>
        <v>150</v>
      </c>
      <c r="I44" s="62">
        <f>sum(I41:I42)</f>
        <v>0</v>
      </c>
      <c r="J44" s="64">
        <f>sum(F44:I44)</f>
        <v>280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5"/>
      <c r="B45" s="66"/>
      <c r="C45" s="66"/>
      <c r="D45" s="66"/>
      <c r="E45" s="66"/>
      <c r="F45" s="67"/>
      <c r="G45" s="67"/>
      <c r="H45" s="67"/>
      <c r="I45" s="67"/>
      <c r="J45" s="68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4" t="s">
        <v>49</v>
      </c>
      <c r="B46" s="2"/>
      <c r="C46" s="2"/>
      <c r="D46" s="2"/>
      <c r="E46" s="2"/>
      <c r="F46" s="46"/>
      <c r="G46" s="46"/>
      <c r="H46" s="46"/>
      <c r="I46" s="46"/>
      <c r="J46" s="7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1" t="s">
        <v>50</v>
      </c>
      <c r="C47" s="2"/>
      <c r="D47" s="2"/>
      <c r="E47" s="2"/>
      <c r="F47" s="75">
        <v>550.0</v>
      </c>
      <c r="G47" s="44"/>
      <c r="H47" s="44"/>
      <c r="I47" s="44"/>
      <c r="J47" s="26">
        <f t="shared" ref="J47:J52" si="4">sum(F47:I47)</f>
        <v>550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7" t="s">
        <v>51</v>
      </c>
      <c r="C48" s="2"/>
      <c r="D48" s="2"/>
      <c r="E48" s="2"/>
      <c r="F48" s="25">
        <v>80.0</v>
      </c>
      <c r="G48" s="44"/>
      <c r="H48" s="44"/>
      <c r="I48" s="44"/>
      <c r="J48" s="26">
        <f t="shared" si="4"/>
        <v>80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7" t="s">
        <v>52</v>
      </c>
      <c r="C49" s="2"/>
      <c r="D49" s="2"/>
      <c r="E49" s="2"/>
      <c r="F49" s="25">
        <v>212.0</v>
      </c>
      <c r="G49" s="44"/>
      <c r="H49" s="44"/>
      <c r="I49" s="44"/>
      <c r="J49" s="26">
        <f t="shared" si="4"/>
        <v>212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7" t="s">
        <v>53</v>
      </c>
      <c r="C50" s="2"/>
      <c r="D50" s="2"/>
      <c r="E50" s="2"/>
      <c r="F50" s="25">
        <f t="shared" ref="F50:I50" si="5">19.99</f>
        <v>19.99</v>
      </c>
      <c r="G50" s="25">
        <f t="shared" si="5"/>
        <v>19.99</v>
      </c>
      <c r="H50" s="25">
        <f t="shared" si="5"/>
        <v>19.99</v>
      </c>
      <c r="I50" s="25">
        <f t="shared" si="5"/>
        <v>19.99</v>
      </c>
      <c r="J50" s="26">
        <f t="shared" si="4"/>
        <v>79.96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7" t="s">
        <v>54</v>
      </c>
      <c r="C51" s="2"/>
      <c r="D51" s="2"/>
      <c r="E51" s="2"/>
      <c r="F51" s="25">
        <v>33.9</v>
      </c>
      <c r="G51" s="25">
        <v>33.9</v>
      </c>
      <c r="H51" s="25">
        <v>33.9</v>
      </c>
      <c r="I51" s="25">
        <v>33.9</v>
      </c>
      <c r="J51" s="26">
        <f t="shared" si="4"/>
        <v>135.6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7" t="s">
        <v>6</v>
      </c>
      <c r="C52" s="2"/>
      <c r="D52" s="2"/>
      <c r="E52" s="2"/>
      <c r="F52" s="25">
        <v>6.0</v>
      </c>
      <c r="G52" s="25">
        <v>6.0</v>
      </c>
      <c r="H52" s="25">
        <v>6.0</v>
      </c>
      <c r="I52" s="25">
        <v>6.0</v>
      </c>
      <c r="J52" s="26">
        <f t="shared" si="4"/>
        <v>24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4" t="s">
        <v>55</v>
      </c>
      <c r="B53" s="2"/>
      <c r="C53" s="2"/>
      <c r="D53" s="2"/>
      <c r="E53" s="2"/>
      <c r="F53" s="62">
        <f t="shared" ref="F53:I53" si="6">sum(F47:F52)</f>
        <v>901.89</v>
      </c>
      <c r="G53" s="62">
        <f t="shared" si="6"/>
        <v>59.89</v>
      </c>
      <c r="H53" s="62">
        <f t="shared" si="6"/>
        <v>59.89</v>
      </c>
      <c r="I53" s="62">
        <f t="shared" si="6"/>
        <v>59.89</v>
      </c>
      <c r="J53" s="64">
        <f>SUM(F53:I53)</f>
        <v>1081.56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2"/>
      <c r="B54" s="2"/>
      <c r="C54" s="2"/>
      <c r="D54" s="2"/>
      <c r="E54" s="2"/>
      <c r="F54" s="44"/>
      <c r="G54" s="44"/>
      <c r="H54" s="44"/>
      <c r="I54" s="44"/>
      <c r="J54" s="5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8" t="s">
        <v>56</v>
      </c>
      <c r="B55" s="76"/>
      <c r="C55" s="76"/>
      <c r="D55" s="76"/>
      <c r="E55" s="76"/>
      <c r="F55" s="63">
        <f t="shared" ref="F55:I55" si="7">sum(F22,F30,F38,F44,F53)</f>
        <v>1721.89</v>
      </c>
      <c r="G55" s="63">
        <f t="shared" si="7"/>
        <v>489.89</v>
      </c>
      <c r="H55" s="63">
        <f t="shared" si="7"/>
        <v>6634.89</v>
      </c>
      <c r="I55" s="63">
        <f t="shared" si="7"/>
        <v>59.89</v>
      </c>
      <c r="J55" s="77">
        <f>sum(F55:I55)</f>
        <v>8906.56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8"/>
      <c r="B56" s="79"/>
      <c r="C56" s="79"/>
      <c r="D56" s="79"/>
      <c r="E56" s="79"/>
      <c r="F56" s="79"/>
      <c r="G56" s="79"/>
      <c r="H56" s="79"/>
      <c r="I56" s="79"/>
      <c r="J56" s="80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1" t="s">
        <v>57</v>
      </c>
      <c r="B57" s="2"/>
      <c r="C57" s="2"/>
      <c r="D57" s="2"/>
      <c r="E57" s="2"/>
      <c r="F57" s="2"/>
      <c r="G57" s="2"/>
      <c r="H57" s="2"/>
      <c r="I57" s="2"/>
      <c r="J57" s="26">
        <f>J9-J55</f>
        <v>-6256.56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81" t="s">
        <v>58</v>
      </c>
      <c r="B58" s="2"/>
      <c r="C58" s="2"/>
      <c r="D58" s="2"/>
      <c r="E58" s="2"/>
      <c r="F58" s="2"/>
      <c r="G58" s="2"/>
      <c r="H58" s="2"/>
      <c r="I58" s="2"/>
      <c r="J58" s="82">
        <v>2000.0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83" t="s">
        <v>59</v>
      </c>
      <c r="B59" s="32"/>
      <c r="C59" s="32"/>
      <c r="D59" s="32"/>
      <c r="E59" s="32"/>
      <c r="F59" s="32"/>
      <c r="G59" s="32"/>
      <c r="H59" s="32"/>
      <c r="I59" s="32"/>
      <c r="J59" s="33">
        <f>sum(J57:J58)</f>
        <v>-4256.56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4" t="s">
        <v>11</v>
      </c>
      <c r="B61" s="2"/>
      <c r="C61" s="2"/>
      <c r="D61" s="2"/>
      <c r="E61" s="2"/>
      <c r="F61" s="2"/>
      <c r="G61" s="2"/>
      <c r="H61" s="2"/>
      <c r="I61" s="2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5" t="s">
        <v>12</v>
      </c>
      <c r="B62" s="2"/>
      <c r="C62" s="2"/>
      <c r="D62" s="2"/>
      <c r="E62" s="2"/>
      <c r="F62" s="2"/>
      <c r="G62" s="2"/>
      <c r="H62" s="2"/>
      <c r="I62" s="2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5" t="s">
        <v>13</v>
      </c>
      <c r="B63" s="2"/>
      <c r="C63" s="2"/>
      <c r="D63" s="2"/>
      <c r="E63" s="2"/>
      <c r="F63" s="2"/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5" t="s">
        <v>14</v>
      </c>
      <c r="B64" s="2"/>
      <c r="C64" s="2"/>
      <c r="D64" s="2"/>
      <c r="E64" s="2"/>
      <c r="F64" s="2"/>
      <c r="G64" s="2"/>
      <c r="H64" s="2"/>
      <c r="I64" s="2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</sheetData>
  <mergeCells count="1">
    <mergeCell ref="A4:J4"/>
  </mergeCells>
  <drawing r:id="rId1"/>
  <tableParts count="2">
    <tablePart r:id="rId4"/>
    <tablePart r:id="rId5"/>
  </tableParts>
</worksheet>
</file>