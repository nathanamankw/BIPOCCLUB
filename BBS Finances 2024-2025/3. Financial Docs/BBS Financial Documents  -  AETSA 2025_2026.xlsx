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Budget 20252026" sheetId="1" r:id="rId5"/>
    <sheet state="visible" name="Networking Event (CGI)  - Sept " sheetId="2" r:id="rId6"/>
    <sheet state="visible" name=" Office Tour #1 - Sept 2025" sheetId="3" r:id="rId7"/>
    <sheet state="visible" name="Office Tour #2 - Oct 2025" sheetId="4" r:id="rId8"/>
    <sheet state="visible" name="Case Competition (CGI) - Oct 20" sheetId="5" r:id="rId9"/>
    <sheet state="visible" name="WBC Panel Event - Nov 2025" sheetId="6" r:id="rId10"/>
    <sheet state="visible" name="Toronto Trip - Mar 2025" sheetId="7" r:id="rId11"/>
    <sheet state="visible" name="Logbook 04.24" sheetId="8" r:id="rId12"/>
    <sheet state="visible" name="Bank Rec 04.24" sheetId="9" r:id="rId13"/>
    <sheet state="visible" name=" Logbook 05.24" sheetId="10" r:id="rId14"/>
    <sheet state="visible" name=" Bank Rec 05.24" sheetId="11" r:id="rId15"/>
    <sheet state="visible" name="  Logbook 06.24" sheetId="12" r:id="rId16"/>
    <sheet state="visible" name=" Bank Rec 06.24" sheetId="13" r:id="rId17"/>
    <sheet state="visible" name=" Logbook 07.24" sheetId="14" r:id="rId18"/>
    <sheet state="visible" name=" Bank Rec 07.24" sheetId="15" r:id="rId19"/>
    <sheet state="visible" name=" Logbook 08.24" sheetId="16" r:id="rId20"/>
    <sheet state="visible" name=" Bank Rec 08.24" sheetId="17" r:id="rId21"/>
    <sheet state="visible" name="Logbook 09.24" sheetId="18" r:id="rId22"/>
    <sheet state="visible" name=" Bank Rec 09.24" sheetId="19" r:id="rId23"/>
    <sheet state="visible" name="Statement of Assets" sheetId="20" r:id="rId24"/>
    <sheet state="visible" name="Petty Cash Statement" sheetId="21" r:id="rId25"/>
  </sheets>
  <definedNames/>
  <calcPr/>
</workbook>
</file>

<file path=xl/sharedStrings.xml><?xml version="1.0" encoding="utf-8"?>
<sst xmlns="http://schemas.openxmlformats.org/spreadsheetml/2006/main" count="490" uniqueCount="194">
  <si>
    <t>Master Budget - Telfer BIPOC Business Society</t>
  </si>
  <si>
    <t>2024/2025</t>
  </si>
  <si>
    <t>Master Budget</t>
  </si>
  <si>
    <t>April 2024 - July 2024</t>
  </si>
  <si>
    <t>August 2024 - November 2024</t>
  </si>
  <si>
    <t>December 2024 - March 2025</t>
  </si>
  <si>
    <t>Revenue</t>
  </si>
  <si>
    <t>Expected</t>
  </si>
  <si>
    <t>Actuals</t>
  </si>
  <si>
    <t>Variance</t>
  </si>
  <si>
    <t>Membership Revenue</t>
  </si>
  <si>
    <t>Membership Sales</t>
  </si>
  <si>
    <t>Other</t>
  </si>
  <si>
    <t>Total Membership Revenue</t>
  </si>
  <si>
    <t>Event Revenue</t>
  </si>
  <si>
    <t>Estimated Revenue from Networking Event – CGI</t>
  </si>
  <si>
    <t>Estimated Revenue from Office Tour #1</t>
  </si>
  <si>
    <t>Estimated Revenue from Office Tour #2</t>
  </si>
  <si>
    <t>Estimated Revenue from Case Competition – CGI</t>
  </si>
  <si>
    <t>Estimated Revenue from WBC Panel Event</t>
  </si>
  <si>
    <t>Estimated Revenue from Financial Literacy Event</t>
  </si>
  <si>
    <t xml:space="preserve">Estimated Revenue from Toronto Trip </t>
  </si>
  <si>
    <t>Total Event Revenue</t>
  </si>
  <si>
    <t>Sponsorship Revenue</t>
  </si>
  <si>
    <t>Deloitte</t>
  </si>
  <si>
    <t>Ottawa Tourism</t>
  </si>
  <si>
    <t>Poulet Rouge</t>
  </si>
  <si>
    <t>UOSU Funding (fall)</t>
  </si>
  <si>
    <t>UOSU Funding (winter)</t>
  </si>
  <si>
    <t>CPP</t>
  </si>
  <si>
    <t>Total Sponsorship Revenue</t>
  </si>
  <si>
    <t>Total Revenue</t>
  </si>
  <si>
    <t>Expenses</t>
  </si>
  <si>
    <t>Event Expenses</t>
  </si>
  <si>
    <t>Networking Event – CGI Expenditures</t>
  </si>
  <si>
    <t xml:space="preserve"> Office Tour #1 Expenditures</t>
  </si>
  <si>
    <t xml:space="preserve"> Office Tour #2 Expenditures</t>
  </si>
  <si>
    <t>Case Competition – CGI Expenditures</t>
  </si>
  <si>
    <t>WBC Panel Event Expenditures</t>
  </si>
  <si>
    <t>Financial Literacy Event Expenditures</t>
  </si>
  <si>
    <t>Toronto Trip Expenditures</t>
  </si>
  <si>
    <t>Total Social Expenses</t>
  </si>
  <si>
    <t>NFC Club Business Cards</t>
  </si>
  <si>
    <t>Grad Sashes</t>
  </si>
  <si>
    <t>Bank charges</t>
  </si>
  <si>
    <t>Canva subscription</t>
  </si>
  <si>
    <t>WIX website subscription</t>
  </si>
  <si>
    <t>Club fair expenses</t>
  </si>
  <si>
    <t>101 Week Kits</t>
  </si>
  <si>
    <t>Photography</t>
  </si>
  <si>
    <t>Sponsorship Proposal</t>
  </si>
  <si>
    <t>Events Display</t>
  </si>
  <si>
    <t>Club Merch</t>
  </si>
  <si>
    <t>Christmas Care Package</t>
  </si>
  <si>
    <t>Marketing</t>
  </si>
  <si>
    <t>Total Other Expenses</t>
  </si>
  <si>
    <t>Total Expenses</t>
  </si>
  <si>
    <t>Expected Ending Balance</t>
  </si>
  <si>
    <t>Networking Event (CGI)  - Telfer BIPOC Business Society</t>
  </si>
  <si>
    <t>Networking Event (CGI)  - September 2025</t>
  </si>
  <si>
    <t>Price</t>
  </si>
  <si>
    <t>Units</t>
  </si>
  <si>
    <t>Ticket Sales</t>
  </si>
  <si>
    <t>Member Ticket Sales</t>
  </si>
  <si>
    <t>Non-Member Ticket Sales</t>
  </si>
  <si>
    <t xml:space="preserve">Event Management </t>
  </si>
  <si>
    <t xml:space="preserve">Food &amp; Beverages </t>
  </si>
  <si>
    <t>Venue</t>
  </si>
  <si>
    <t>Miscellaneous</t>
  </si>
  <si>
    <t>Total Event Management Expenses</t>
  </si>
  <si>
    <t xml:space="preserve">Total Event Expenses </t>
  </si>
  <si>
    <t>Net Income (Loss)</t>
  </si>
  <si>
    <t xml:space="preserve"> Office Tour #1 - Telfer BIPOC Business Society</t>
  </si>
  <si>
    <t xml:space="preserve"> Office Tour #1 - September 2025</t>
  </si>
  <si>
    <t>Transportation/Refreshments/Admin</t>
  </si>
  <si>
    <t>Total Event Expenses</t>
  </si>
  <si>
    <t xml:space="preserve"> Office Tour #2 - Telfer BIPOC Business Society</t>
  </si>
  <si>
    <t xml:space="preserve"> Office Tour #2 - October 2025</t>
  </si>
  <si>
    <t>Case Competition (CGI) - Telfer BIPOC Business Society</t>
  </si>
  <si>
    <t>Case Competition (CGI) - October 2025</t>
  </si>
  <si>
    <t>Prizess</t>
  </si>
  <si>
    <t>WBC Panel Event - Telfer BIPOC Business Society</t>
  </si>
  <si>
    <t>WBC Panel Event - November 2025</t>
  </si>
  <si>
    <t>Toronto Trip - Telfer BIPOC Business Society</t>
  </si>
  <si>
    <t>Toronto Trip - March 2025</t>
  </si>
  <si>
    <t>Member</t>
  </si>
  <si>
    <t>-</t>
  </si>
  <si>
    <t>Miguel</t>
  </si>
  <si>
    <t>Lea</t>
  </si>
  <si>
    <t>earlybird</t>
  </si>
  <si>
    <t>Funmi</t>
  </si>
  <si>
    <t>Naya</t>
  </si>
  <si>
    <t>Full price</t>
  </si>
  <si>
    <t>Shaan</t>
  </si>
  <si>
    <t>Ahmed</t>
  </si>
  <si>
    <t>Sponsorship</t>
  </si>
  <si>
    <t>Simran</t>
  </si>
  <si>
    <t>Zaina</t>
  </si>
  <si>
    <t>Kai</t>
  </si>
  <si>
    <t>Sacha</t>
  </si>
  <si>
    <t>Alysse</t>
  </si>
  <si>
    <t>Karsten</t>
  </si>
  <si>
    <t>Farah</t>
  </si>
  <si>
    <t>Bilal</t>
  </si>
  <si>
    <t>Tolu</t>
  </si>
  <si>
    <t>Amin</t>
  </si>
  <si>
    <t>Accomodation</t>
  </si>
  <si>
    <t>Irene</t>
  </si>
  <si>
    <t>Aaron</t>
  </si>
  <si>
    <t>Hotel (quad rooming)</t>
  </si>
  <si>
    <t>Niusha</t>
  </si>
  <si>
    <t>Kareem</t>
  </si>
  <si>
    <t>Jenah</t>
  </si>
  <si>
    <t>External Representative Gifts</t>
  </si>
  <si>
    <t>Jasmeen</t>
  </si>
  <si>
    <t>Total Accomodation Expenses</t>
  </si>
  <si>
    <t>Mikael</t>
  </si>
  <si>
    <t>Transportation - Via Rail</t>
  </si>
  <si>
    <t>Michael</t>
  </si>
  <si>
    <t>Going</t>
  </si>
  <si>
    <t>Return</t>
  </si>
  <si>
    <t>Train</t>
  </si>
  <si>
    <t>Total Transportation Expenses</t>
  </si>
  <si>
    <t>Logbook - Telfer BIPOC Business Society</t>
  </si>
  <si>
    <t>For the period of April 1 - April 30, 2024</t>
  </si>
  <si>
    <t>Logbook</t>
  </si>
  <si>
    <t>#</t>
  </si>
  <si>
    <t>Date</t>
  </si>
  <si>
    <t>Description</t>
  </si>
  <si>
    <t>Type</t>
  </si>
  <si>
    <t>Cheque #</t>
  </si>
  <si>
    <t>Deposit #</t>
  </si>
  <si>
    <t>Debit</t>
  </si>
  <si>
    <t>Credit</t>
  </si>
  <si>
    <t>Balance</t>
  </si>
  <si>
    <t>Monthly Bank Fee</t>
  </si>
  <si>
    <t>Bank Fee</t>
  </si>
  <si>
    <t>E-Trans to Zyan: BBS Behind the Scenes Event</t>
  </si>
  <si>
    <t>Events</t>
  </si>
  <si>
    <t>UOSU Funding: Winter 2024</t>
  </si>
  <si>
    <t>Funding</t>
  </si>
  <si>
    <t>E-Trans to Bhanuja: NFC Cards and Grad Sashes</t>
  </si>
  <si>
    <t>E-Trans to Funmi: Club Website and Canva</t>
  </si>
  <si>
    <t>Amount Carried to Next Audit Period</t>
  </si>
  <si>
    <t>Adjusted balance due to outstanding cheques</t>
  </si>
  <si>
    <t>Bank Reconciliation - Telfer BIPOC Business Society</t>
  </si>
  <si>
    <t>Bank statement balance on April 30, 2024</t>
  </si>
  <si>
    <t>Logbook balance on April 30, 2024</t>
  </si>
  <si>
    <t>Difference</t>
  </si>
  <si>
    <t>Balance as per bank statement on April 30, 2024</t>
  </si>
  <si>
    <t>Add Deposits in Transit</t>
  </si>
  <si>
    <t>Subtract outstanding cheques</t>
  </si>
  <si>
    <t>Total outstanding cheques</t>
  </si>
  <si>
    <t>Balance as per logbook</t>
  </si>
  <si>
    <t>For the period of May 1 - June 3, 2024</t>
  </si>
  <si>
    <t>For the period of May 1st - June 3, 2024</t>
  </si>
  <si>
    <t>Bank statement balance on June 3, 2024</t>
  </si>
  <si>
    <t>Logbook balance on June 3, 2024</t>
  </si>
  <si>
    <t>Balance as per bank statement on June 3, 2024</t>
  </si>
  <si>
    <t>For the period of June 3 - July 2, 2024</t>
  </si>
  <si>
    <t>For the period of June 3 - July 2nd, 2024</t>
  </si>
  <si>
    <t>Bank statement balance on July 2nd, 2024</t>
  </si>
  <si>
    <t>Logbook balance on July 2nd, 2024</t>
  </si>
  <si>
    <t>Balance as per bank statement on July 2nd, 2024</t>
  </si>
  <si>
    <t>For the period of July 2nd - August 1st, 2024</t>
  </si>
  <si>
    <t>For the period of July 2nd- August 1st, 2024</t>
  </si>
  <si>
    <t>Bank statement balance on August 1st, 2024</t>
  </si>
  <si>
    <t>Logbook balance on August 1st, 2024</t>
  </si>
  <si>
    <t>Balance as per bank statement on August 1st, 2024</t>
  </si>
  <si>
    <t>For the period of August 1st, 2024- September 3rd, 2024</t>
  </si>
  <si>
    <t>3-Sept-2024</t>
  </si>
  <si>
    <t>E-Transfer to Alysse Hanisch</t>
  </si>
  <si>
    <t>Bank statement balance on September 3rd, 2024</t>
  </si>
  <si>
    <t>Logbook balance on September 3rd, 2024</t>
  </si>
  <si>
    <t>Balance as per bank statement on September 3rd, 2024</t>
  </si>
  <si>
    <t>For the period of september3st, 2024-October 2nd</t>
  </si>
  <si>
    <t>For the period of september 3st, 2024-October 2nd</t>
  </si>
  <si>
    <t>Statement of Assets - Telfer BIPOC Business Society</t>
  </si>
  <si>
    <t>Statement of Assets</t>
  </si>
  <si>
    <t>Asset</t>
  </si>
  <si>
    <t>Date of Purchase</t>
  </si>
  <si>
    <t>Purchase Price</t>
  </si>
  <si>
    <t>Depreciation Rate/Year</t>
  </si>
  <si>
    <t>Accumulated Depreciation/Year</t>
  </si>
  <si>
    <t>Accumulated Depreciation Value</t>
  </si>
  <si>
    <t>Current Value</t>
  </si>
  <si>
    <t>Name</t>
  </si>
  <si>
    <t>Petty Cash Statement - Telfer BIPOC Business Society</t>
  </si>
  <si>
    <t xml:space="preserve">Petty Cash Statement as of (date) </t>
  </si>
  <si>
    <t>Transaction</t>
  </si>
  <si>
    <t>Cash In</t>
  </si>
  <si>
    <t>Cash Out</t>
  </si>
  <si>
    <t>Beginning Bal (date)</t>
  </si>
  <si>
    <t>Ending Bal (date)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</si>
</sst>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m yyyy"/>
    <numFmt numFmtId="166" formatCode="&quot;$&quot;#,##0"/>
    <numFmt numFmtId="167" formatCode="d-mmm-yy"/>
  </numFmts>
  <fonts count="29">
    <font>
      <sz val="10.0"/>
      <color rgb="FF000000"/>
      <name val="Arial"/>
      <scheme val="minor"/>
    </font>
    <font>
      <b/>
      <sz val="13.0"/>
      <color rgb="FF000000"/>
      <name val="Montserrat"/>
    </font>
    <font>
      <b/>
      <sz val="18.0"/>
      <color rgb="FFFFFFFF"/>
      <name val="Montserrat"/>
    </font>
    <font>
      <sz val="12.0"/>
      <color rgb="FF000000"/>
      <name val="Montserrat"/>
    </font>
    <font>
      <color theme="1"/>
      <name val="Montserrat"/>
    </font>
    <font/>
    <font>
      <b/>
      <sz val="15.0"/>
      <color rgb="FFFFFFFF"/>
      <name val="Montserrat"/>
    </font>
    <font>
      <b/>
      <sz val="16.0"/>
      <color rgb="FFFFFFFF"/>
      <name val="Montserrat"/>
    </font>
    <font>
      <b/>
      <sz val="13.0"/>
      <color theme="1"/>
      <name val="Montserrat"/>
    </font>
    <font>
      <b/>
      <sz val="17.0"/>
      <color theme="1"/>
      <name val="Montserrat"/>
    </font>
    <font>
      <sz val="13.0"/>
      <color theme="1"/>
      <name val="Montserrat"/>
    </font>
    <font>
      <sz val="14.0"/>
      <color theme="1"/>
      <name val="Montserrat"/>
    </font>
    <font>
      <sz val="16.0"/>
      <color rgb="FF000000"/>
      <name val="Montserrat"/>
    </font>
    <font>
      <sz val="12.0"/>
      <color theme="1"/>
      <name val="Montserrat"/>
    </font>
    <font>
      <color theme="1"/>
      <name val="Arial"/>
      <scheme val="minor"/>
    </font>
    <font>
      <sz val="16.0"/>
      <color theme="1"/>
      <name val="Montserrat"/>
    </font>
    <font>
      <sz val="13.0"/>
      <color theme="1"/>
      <name val="Arial"/>
      <scheme val="minor"/>
    </font>
    <font>
      <color theme="1"/>
      <name val="Arial"/>
    </font>
    <font>
      <b/>
      <sz val="12.0"/>
      <color rgb="FF000000"/>
      <name val="Montserrat"/>
    </font>
    <font>
      <sz val="11.0"/>
      <color rgb="FF000000"/>
      <name val="Montserrat"/>
    </font>
    <font>
      <b/>
      <sz val="14.0"/>
      <color rgb="FF000000"/>
      <name val="Montserrat"/>
    </font>
    <font>
      <b/>
      <sz val="11.0"/>
      <color rgb="FF000000"/>
      <name val="Montserrat"/>
    </font>
    <font>
      <b/>
      <sz val="12.0"/>
      <color theme="1"/>
      <name val="Montserrat"/>
    </font>
    <font>
      <b/>
      <sz val="12.0"/>
      <color rgb="FF980000"/>
      <name val="Montserrat"/>
    </font>
    <font>
      <b/>
      <sz val="14.0"/>
      <color theme="1"/>
      <name val="Montserrat"/>
    </font>
    <font>
      <b/>
      <sz val="11.0"/>
      <color theme="1"/>
      <name val="Montserrat"/>
    </font>
    <font>
      <sz val="13.0"/>
      <color rgb="FF980000"/>
      <name val="Montserrat"/>
    </font>
    <font>
      <sz val="14.0"/>
      <color theme="1"/>
      <name val="Arial"/>
      <scheme val="minor"/>
    </font>
    <font>
      <sz val="13.0"/>
      <color rgb="FF000000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34">
    <border/>
    <border>
      <top style="double">
        <color rgb="FF000000"/>
      </top>
      <bottom style="thick">
        <color rgb="FF073763"/>
      </bottom>
    </border>
    <border>
      <right style="double">
        <color rgb="FF000000"/>
      </right>
      <top style="double">
        <color rgb="FF000000"/>
      </top>
      <bottom style="thick">
        <color rgb="FF073763"/>
      </bottom>
    </border>
    <border>
      <left style="thick">
        <color rgb="FF073763"/>
      </left>
      <bottom style="thick">
        <color rgb="FF073763"/>
      </bottom>
    </border>
    <border>
      <bottom style="thick">
        <color rgb="FF073763"/>
      </bottom>
    </border>
    <border>
      <right style="thick">
        <color rgb="FF073763"/>
      </right>
      <bottom style="thick">
        <color rgb="FF073763"/>
      </bottom>
    </border>
    <border>
      <right style="double">
        <color rgb="FF000000"/>
      </right>
      <bottom style="thick">
        <color rgb="FF073763"/>
      </bottom>
    </border>
    <border>
      <left style="double">
        <color rgb="FF000000"/>
      </left>
    </border>
    <border>
      <left style="dotted">
        <color rgb="FF073763"/>
      </left>
    </border>
    <border>
      <right style="double">
        <color rgb="FF000000"/>
      </right>
    </border>
    <border>
      <left style="dotted">
        <color rgb="FF073763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tted">
        <color rgb="FF000000"/>
      </lef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73763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dotted">
        <color rgb="FF073763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5" numFmtId="0" xfId="0" applyBorder="1" applyFont="1"/>
    <xf borderId="2" fillId="0" fontId="5" numFmtId="0" xfId="0" applyBorder="1" applyFont="1"/>
    <xf borderId="0" fillId="2" fontId="2" numFmtId="0" xfId="0" applyAlignment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4" fillId="0" fontId="5" numFmtId="0" xfId="0" applyBorder="1" applyFont="1"/>
    <xf borderId="5" fillId="0" fontId="5" numFmtId="0" xfId="0" applyBorder="1" applyFont="1"/>
    <xf borderId="4" fillId="2" fontId="6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6" fillId="0" fontId="5" numFmtId="0" xfId="0" applyBorder="1" applyFont="1"/>
    <xf borderId="7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9" fillId="0" fontId="8" numFmtId="0" xfId="0" applyAlignment="1" applyBorder="1" applyFont="1">
      <alignment horizontal="center" vertical="bottom"/>
    </xf>
    <xf borderId="0" fillId="0" fontId="9" numFmtId="0" xfId="0" applyAlignment="1" applyFont="1">
      <alignment readingOrder="0" shrinkToFit="0" vertical="bottom" wrapText="0"/>
    </xf>
    <xf borderId="7" fillId="0" fontId="10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8" fillId="0" fontId="10" numFmtId="0" xfId="0" applyAlignment="1" applyBorder="1" applyFont="1">
      <alignment horizontal="left" readingOrder="0" shrinkToFit="0" vertical="bottom" wrapText="0"/>
    </xf>
    <xf borderId="8" fillId="3" fontId="10" numFmtId="0" xfId="0" applyAlignment="1" applyBorder="1" applyFill="1" applyFont="1">
      <alignment vertical="bottom"/>
    </xf>
    <xf borderId="0" fillId="3" fontId="10" numFmtId="0" xfId="0" applyAlignment="1" applyFont="1">
      <alignment vertical="bottom"/>
    </xf>
    <xf borderId="9" fillId="3" fontId="10" numFmtId="0" xfId="0" applyAlignment="1" applyBorder="1" applyFont="1">
      <alignment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164" xfId="0" applyAlignment="1" applyFont="1" applyNumberFormat="1">
      <alignment shrinkToFit="0" vertical="bottom" wrapText="0"/>
    </xf>
    <xf borderId="8" fillId="0" fontId="10" numFmtId="164" xfId="0" applyAlignment="1" applyBorder="1" applyFont="1" applyNumberFormat="1">
      <alignment shrinkToFit="0" vertical="bottom" wrapText="0"/>
    </xf>
    <xf borderId="8" fillId="3" fontId="10" numFmtId="164" xfId="0" applyAlignment="1" applyBorder="1" applyFont="1" applyNumberFormat="1">
      <alignment vertical="bottom"/>
    </xf>
    <xf borderId="0" fillId="3" fontId="10" numFmtId="164" xfId="0" applyAlignment="1" applyFont="1" applyNumberFormat="1">
      <alignment vertical="bottom"/>
    </xf>
    <xf borderId="0" fillId="0" fontId="13" numFmtId="164" xfId="0" applyAlignment="1" applyFont="1" applyNumberFormat="1">
      <alignment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10" fillId="0" fontId="10" numFmtId="164" xfId="0" applyAlignment="1" applyBorder="1" applyFont="1" applyNumberFormat="1">
      <alignment shrinkToFit="0" vertical="bottom" wrapText="0"/>
    </xf>
    <xf borderId="11" fillId="0" fontId="10" numFmtId="164" xfId="0" applyAlignment="1" applyBorder="1" applyFont="1" applyNumberFormat="1">
      <alignment shrinkToFit="0" vertical="bottom" wrapText="0"/>
    </xf>
    <xf borderId="10" fillId="3" fontId="10" numFmtId="164" xfId="0" applyAlignment="1" applyBorder="1" applyFont="1" applyNumberFormat="1">
      <alignment horizontal="right" vertical="bottom"/>
    </xf>
    <xf borderId="11" fillId="3" fontId="10" numFmtId="164" xfId="0" applyAlignment="1" applyBorder="1" applyFont="1" applyNumberFormat="1">
      <alignment horizontal="right" vertical="bottom"/>
    </xf>
    <xf borderId="11" fillId="3" fontId="10" numFmtId="164" xfId="0" applyAlignment="1" applyBorder="1" applyFont="1" applyNumberFormat="1">
      <alignment vertical="bottom"/>
    </xf>
    <xf borderId="10" fillId="3" fontId="10" numFmtId="164" xfId="0" applyAlignment="1" applyBorder="1" applyFont="1" applyNumberFormat="1">
      <alignment horizontal="right" readingOrder="0" vertical="bottom"/>
    </xf>
    <xf borderId="11" fillId="3" fontId="10" numFmtId="164" xfId="0" applyAlignment="1" applyBorder="1" applyFont="1" applyNumberFormat="1">
      <alignment horizontal="right" readingOrder="0" vertical="bottom"/>
    </xf>
    <xf borderId="12" fillId="3" fontId="10" numFmtId="164" xfId="0" applyAlignment="1" applyBorder="1" applyFont="1" applyNumberFormat="1">
      <alignment vertical="bottom"/>
    </xf>
    <xf borderId="7" fillId="0" fontId="10" numFmtId="164" xfId="0" applyAlignment="1" applyBorder="1" applyFont="1" applyNumberFormat="1">
      <alignment readingOrder="0" shrinkToFit="0" vertical="bottom" wrapText="0"/>
    </xf>
    <xf borderId="9" fillId="3" fontId="10" numFmtId="164" xfId="0" applyAlignment="1" applyBorder="1" applyFont="1" applyNumberFormat="1">
      <alignment vertical="bottom"/>
    </xf>
    <xf borderId="7" fillId="0" fontId="8" numFmtId="0" xfId="0" applyAlignment="1" applyBorder="1" applyFont="1">
      <alignment shrinkToFit="0" vertical="bottom" wrapText="0"/>
    </xf>
    <xf borderId="8" fillId="0" fontId="10" numFmtId="164" xfId="0" applyAlignment="1" applyBorder="1" applyFont="1" applyNumberFormat="1">
      <alignment readingOrder="0" shrinkToFit="0" vertical="bottom" wrapText="0"/>
    </xf>
    <xf borderId="8" fillId="3" fontId="10" numFmtId="164" xfId="0" applyAlignment="1" applyBorder="1" applyFont="1" applyNumberFormat="1">
      <alignment horizontal="right" readingOrder="0" vertical="bottom"/>
    </xf>
    <xf borderId="0" fillId="3" fontId="10" numFmtId="164" xfId="0" applyAlignment="1" applyFont="1" applyNumberFormat="1">
      <alignment horizontal="right" readingOrder="0" vertical="bottom"/>
    </xf>
    <xf borderId="8" fillId="3" fontId="10" numFmtId="164" xfId="0" applyAlignment="1" applyBorder="1" applyFont="1" applyNumberFormat="1">
      <alignment horizontal="right" vertical="bottom"/>
    </xf>
    <xf borderId="0" fillId="3" fontId="10" numFmtId="164" xfId="0" applyAlignment="1" applyFont="1" applyNumberFormat="1">
      <alignment horizontal="right" vertical="bottom"/>
    </xf>
    <xf borderId="8" fillId="3" fontId="10" numFmtId="164" xfId="0" applyAlignment="1" applyBorder="1" applyFont="1" applyNumberFormat="1">
      <alignment readingOrder="0" vertical="bottom"/>
    </xf>
    <xf borderId="0" fillId="3" fontId="10" numFmtId="164" xfId="0" applyAlignment="1" applyFont="1" applyNumberFormat="1">
      <alignment readingOrder="0" vertical="bottom"/>
    </xf>
    <xf borderId="13" fillId="0" fontId="14" numFmtId="0" xfId="0" applyBorder="1" applyFont="1"/>
    <xf borderId="0" fillId="0" fontId="8" numFmtId="164" xfId="0" applyAlignment="1" applyFont="1" applyNumberFormat="1">
      <alignment shrinkToFit="0" vertical="bottom" wrapText="0"/>
    </xf>
    <xf borderId="14" fillId="0" fontId="8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right" readingOrder="0"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6" fillId="0" fontId="10" numFmtId="164" xfId="0" applyAlignment="1" applyBorder="1" applyFont="1" applyNumberFormat="1">
      <alignment horizontal="right" vertical="bottom"/>
    </xf>
    <xf borderId="15" fillId="0" fontId="10" numFmtId="164" xfId="0" applyAlignment="1" applyBorder="1" applyFont="1" applyNumberFormat="1">
      <alignment horizontal="right" vertical="bottom"/>
    </xf>
    <xf borderId="15" fillId="0" fontId="10" numFmtId="0" xfId="0" applyAlignment="1" applyBorder="1" applyFont="1">
      <alignment vertical="bottom"/>
    </xf>
    <xf borderId="17" fillId="0" fontId="10" numFmtId="0" xfId="0" applyAlignment="1" applyBorder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9" fillId="0" fontId="10" numFmtId="0" xfId="0" applyAlignment="1" applyBorder="1" applyFont="1">
      <alignment vertical="bottom"/>
    </xf>
    <xf borderId="0" fillId="0" fontId="15" numFmtId="0" xfId="0" applyAlignment="1" applyFont="1">
      <alignment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8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9" fillId="0" fontId="8" numFmtId="0" xfId="0" applyAlignment="1" applyBorder="1" applyFont="1">
      <alignment vertical="bottom"/>
    </xf>
    <xf borderId="7" fillId="0" fontId="10" numFmtId="0" xfId="0" applyAlignment="1" applyBorder="1" applyFont="1">
      <alignment readingOrder="0" shrinkToFit="0" vertical="bottom" wrapText="0"/>
    </xf>
    <xf borderId="0" fillId="0" fontId="10" numFmtId="164" xfId="0" applyAlignment="1" applyFont="1" applyNumberFormat="1">
      <alignment shrinkToFit="0" vertical="bottom" wrapText="0"/>
    </xf>
    <xf borderId="8" fillId="0" fontId="10" numFmtId="164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0" xfId="0" applyFont="1"/>
    <xf borderId="7" fillId="0" fontId="16" numFmtId="0" xfId="0" applyBorder="1" applyFont="1"/>
    <xf borderId="0" fillId="3" fontId="10" numFmtId="0" xfId="0" applyAlignment="1" applyFont="1">
      <alignment readingOrder="0" vertical="bottom"/>
    </xf>
    <xf borderId="0" fillId="3" fontId="17" numFmtId="164" xfId="0" applyAlignment="1" applyFont="1" applyNumberFormat="1">
      <alignment vertical="bottom"/>
    </xf>
    <xf borderId="9" fillId="3" fontId="10" numFmtId="164" xfId="0" applyAlignment="1" applyBorder="1" applyFont="1" applyNumberFormat="1">
      <alignment horizontal="right" vertical="bottom"/>
    </xf>
    <xf borderId="11" fillId="0" fontId="10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0" numFmtId="0" xfId="0" applyFont="1"/>
    <xf borderId="15" fillId="0" fontId="10" numFmtId="164" xfId="0" applyAlignment="1" applyBorder="1" applyFont="1" applyNumberFormat="1">
      <alignment horizontal="right" readingOrder="0" shrinkToFit="0" vertical="bottom" wrapText="0"/>
    </xf>
    <xf borderId="16" fillId="0" fontId="10" numFmtId="164" xfId="0" applyAlignment="1" applyBorder="1" applyFont="1" applyNumberFormat="1">
      <alignment horizontal="right" readingOrder="0" shrinkToFit="0" vertical="bottom" wrapText="0"/>
    </xf>
    <xf borderId="15" fillId="0" fontId="10" numFmtId="164" xfId="0" applyAlignment="1" applyBorder="1" applyFont="1" applyNumberFormat="1">
      <alignment vertical="bottom"/>
    </xf>
    <xf borderId="17" fillId="0" fontId="10" numFmtId="164" xfId="0" applyAlignment="1" applyBorder="1" applyFont="1" applyNumberFormat="1">
      <alignment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8" fillId="0" fontId="8" numFmtId="0" xfId="0" applyAlignment="1" applyBorder="1" applyFont="1">
      <alignment readingOrder="0" shrinkToFit="0" vertical="bottom" wrapText="0"/>
    </xf>
    <xf borderId="19" fillId="0" fontId="10" numFmtId="164" xfId="0" applyAlignment="1" applyBorder="1" applyFont="1" applyNumberFormat="1">
      <alignment shrinkToFit="0" vertical="bottom" wrapText="0"/>
    </xf>
    <xf borderId="20" fillId="0" fontId="8" numFmtId="164" xfId="0" applyAlignment="1" applyBorder="1" applyFont="1" applyNumberFormat="1">
      <alignment shrinkToFit="0" vertical="bottom" wrapText="0"/>
    </xf>
    <xf borderId="19" fillId="0" fontId="8" numFmtId="164" xfId="0" applyAlignment="1" applyBorder="1" applyFont="1" applyNumberFormat="1">
      <alignment shrinkToFit="0" vertical="bottom" wrapText="0"/>
    </xf>
    <xf borderId="20" fillId="0" fontId="8" numFmtId="164" xfId="0" applyAlignment="1" applyBorder="1" applyFont="1" applyNumberFormat="1">
      <alignment horizontal="right" vertical="bottom"/>
    </xf>
    <xf borderId="19" fillId="0" fontId="8" numFmtId="164" xfId="0" applyAlignment="1" applyBorder="1" applyFont="1" applyNumberFormat="1">
      <alignment horizontal="right" vertical="bottom"/>
    </xf>
    <xf borderId="19" fillId="0" fontId="8" numFmtId="164" xfId="0" applyAlignment="1" applyBorder="1" applyFont="1" applyNumberFormat="1">
      <alignment vertical="bottom"/>
    </xf>
    <xf borderId="21" fillId="0" fontId="8" numFmtId="164" xfId="0" applyAlignment="1" applyBorder="1" applyFont="1" applyNumberForma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22" fillId="2" fontId="2" numFmtId="0" xfId="0" applyAlignment="1" applyBorder="1" applyFont="1">
      <alignment horizontal="center" readingOrder="0" shrinkToFit="0" vertical="bottom" wrapText="0"/>
    </xf>
    <xf borderId="23" fillId="0" fontId="5" numFmtId="0" xfId="0" applyBorder="1" applyFont="1"/>
    <xf borderId="24" fillId="0" fontId="5" numFmtId="0" xfId="0" applyBorder="1" applyFont="1"/>
    <xf borderId="9" fillId="0" fontId="8" numFmtId="0" xfId="0" applyAlignment="1" applyBorder="1" applyFont="1">
      <alignment readingOrder="0" shrinkToFit="0" vertical="bottom" wrapText="0"/>
    </xf>
    <xf borderId="9" fillId="0" fontId="10" numFmtId="0" xfId="0" applyAlignment="1" applyBorder="1" applyFont="1">
      <alignment horizontal="left" readingOrder="0" shrinkToFit="0" vertical="bottom" wrapText="0"/>
    </xf>
    <xf borderId="9" fillId="0" fontId="10" numFmtId="164" xfId="0" applyAlignment="1" applyBorder="1" applyFont="1" applyNumberFormat="1">
      <alignment shrinkToFit="0" vertical="bottom" wrapText="0"/>
    </xf>
    <xf borderId="25" fillId="0" fontId="8" numFmtId="0" xfId="0" applyAlignment="1" applyBorder="1" applyFont="1">
      <alignment readingOrder="0" shrinkToFit="0" vertical="bottom" wrapText="0"/>
    </xf>
    <xf borderId="26" fillId="0" fontId="10" numFmtId="164" xfId="0" applyAlignment="1" applyBorder="1" applyFont="1" applyNumberFormat="1">
      <alignment shrinkToFit="0" vertical="bottom" wrapText="0"/>
    </xf>
    <xf borderId="15" fillId="0" fontId="10" numFmtId="164" xfId="0" applyAlignment="1" applyBorder="1" applyFont="1" applyNumberFormat="1">
      <alignment shrinkToFit="0" vertical="bottom" wrapText="0"/>
    </xf>
    <xf borderId="17" fillId="0" fontId="10" numFmtId="164" xfId="0" applyAlignment="1" applyBorder="1" applyFont="1" applyNumberFormat="1">
      <alignment shrinkToFit="0" vertical="bottom" wrapText="0"/>
    </xf>
    <xf borderId="9" fillId="0" fontId="10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11" fillId="0" fontId="10" numFmtId="164" xfId="0" applyAlignment="1" applyBorder="1" applyFont="1" applyNumberFormat="1">
      <alignment readingOrder="0" shrinkToFit="0" vertical="bottom" wrapText="0"/>
    </xf>
    <xf borderId="12" fillId="0" fontId="10" numFmtId="164" xfId="0" applyAlignment="1" applyBorder="1" applyFont="1" applyNumberFormat="1">
      <alignment shrinkToFit="0" vertical="bottom" wrapText="0"/>
    </xf>
    <xf borderId="0" fillId="0" fontId="16" numFmtId="0" xfId="0" applyFont="1"/>
    <xf borderId="0" fillId="0" fontId="14" numFmtId="164" xfId="0" applyFont="1" applyNumberFormat="1"/>
    <xf borderId="17" fillId="0" fontId="10" numFmtId="164" xfId="0" applyAlignment="1" applyBorder="1" applyFont="1" applyNumberFormat="1">
      <alignment horizontal="right" readingOrder="0" shrinkToFit="0" vertical="bottom" wrapText="0"/>
    </xf>
    <xf borderId="9" fillId="0" fontId="10" numFmtId="0" xfId="0" applyAlignment="1" applyBorder="1" applyFont="1">
      <alignment shrinkToFit="0" vertical="bottom" wrapText="0"/>
    </xf>
    <xf borderId="21" fillId="0" fontId="10" numFmtId="164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8" numFmtId="3" xfId="0" applyAlignment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left" readingOrder="0" shrinkToFit="0" vertical="bottom" wrapText="0"/>
    </xf>
    <xf borderId="0" fillId="0" fontId="10" numFmtId="3" xfId="0" applyAlignment="1" applyFont="1" applyNumberFormat="1">
      <alignment horizontal="left" readingOrder="0" shrinkToFit="0" vertical="bottom" wrapText="0"/>
    </xf>
    <xf borderId="0" fillId="0" fontId="14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7" fillId="0" fontId="10" numFmtId="0" xfId="0" applyAlignment="1" applyBorder="1" applyFont="1">
      <alignment readingOrder="0" shrinkToFit="0" vertical="bottom" wrapText="0"/>
    </xf>
    <xf borderId="0" fillId="0" fontId="10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26" fillId="0" fontId="10" numFmtId="3" xfId="0" applyAlignment="1" applyBorder="1" applyFont="1" applyNumberFormat="1">
      <alignment shrinkToFit="0" vertical="bottom" wrapText="0"/>
    </xf>
    <xf borderId="15" fillId="4" fontId="10" numFmtId="164" xfId="0" applyAlignment="1" applyBorder="1" applyFill="1" applyFont="1" applyNumberFormat="1">
      <alignment shrinkToFit="0" vertical="bottom" wrapText="0"/>
    </xf>
    <xf borderId="17" fillId="0" fontId="10" numFmtId="164" xfId="0" applyAlignment="1" applyBorder="1" applyFont="1" applyNumberForma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4" numFmtId="0" xfId="0" applyFont="1"/>
    <xf borderId="7" fillId="0" fontId="16" numFmtId="0" xfId="0" applyAlignment="1" applyBorder="1" applyFont="1">
      <alignment readingOrder="0"/>
    </xf>
    <xf borderId="11" fillId="0" fontId="10" numFmtId="164" xfId="0" applyAlignment="1" applyBorder="1" applyFont="1" applyNumberFormat="1">
      <alignment readingOrder="0" shrinkToFit="0" vertical="bottom" wrapText="0"/>
    </xf>
    <xf borderId="15" fillId="0" fontId="10" numFmtId="3" xfId="0" applyAlignment="1" applyBorder="1" applyFont="1" applyNumberFormat="1">
      <alignment horizontal="right" readingOrder="0" shrinkToFit="0" vertical="bottom" wrapText="0"/>
    </xf>
    <xf borderId="15" fillId="0" fontId="10" numFmtId="164" xfId="0" applyAlignment="1" applyBorder="1" applyFont="1" applyNumberFormat="1">
      <alignment horizontal="right" shrinkToFit="0" vertical="bottom" wrapText="0"/>
    </xf>
    <xf borderId="15" fillId="5" fontId="10" numFmtId="164" xfId="0" applyAlignment="1" applyBorder="1" applyFill="1" applyFont="1" applyNumberFormat="1">
      <alignment horizontal="right" readingOrder="0" shrinkToFit="0" vertical="bottom" wrapText="0"/>
    </xf>
    <xf borderId="19" fillId="0" fontId="10" numFmtId="3" xfId="0" applyAlignment="1" applyBorder="1" applyFont="1" applyNumberFormat="1">
      <alignment shrinkToFit="0" vertical="bottom" wrapText="0"/>
    </xf>
    <xf borderId="0" fillId="0" fontId="14" numFmtId="3" xfId="0" applyFont="1" applyNumberFormat="1"/>
    <xf borderId="0" fillId="0" fontId="14" numFmtId="3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27" fillId="2" fontId="2" numFmtId="0" xfId="0" applyAlignment="1" applyBorder="1" applyFont="1">
      <alignment horizontal="center" readingOrder="0"/>
    </xf>
    <xf borderId="15" fillId="0" fontId="5" numFmtId="0" xfId="0" applyBorder="1" applyFont="1"/>
    <xf borderId="28" fillId="0" fontId="18" numFmtId="0" xfId="0" applyAlignment="1" applyBorder="1" applyFont="1">
      <alignment horizontal="center" readingOrder="0"/>
    </xf>
    <xf borderId="29" fillId="0" fontId="18" numFmtId="0" xfId="0" applyAlignment="1" applyBorder="1" applyFont="1">
      <alignment horizontal="center" readingOrder="0"/>
    </xf>
    <xf borderId="15" fillId="2" fontId="19" numFmtId="0" xfId="0" applyAlignment="1" applyBorder="1" applyFont="1">
      <alignment vertical="bottom"/>
    </xf>
    <xf borderId="29" fillId="6" fontId="18" numFmtId="164" xfId="0" applyAlignment="1" applyBorder="1" applyFill="1" applyFont="1" applyNumberFormat="1">
      <alignment horizontal="center" readingOrder="0"/>
    </xf>
    <xf borderId="28" fillId="0" fontId="3" numFmtId="0" xfId="0" applyAlignment="1" applyBorder="1" applyFont="1">
      <alignment horizontal="center" readingOrder="0"/>
    </xf>
    <xf borderId="30" fillId="0" fontId="3" numFmtId="167" xfId="0" applyAlignment="1" applyBorder="1" applyFont="1" applyNumberFormat="1">
      <alignment horizontal="center" readingOrder="0"/>
    </xf>
    <xf borderId="29" fillId="0" fontId="3" numFmtId="0" xfId="0" applyAlignment="1" applyBorder="1" applyFont="1">
      <alignment horizontal="center" readingOrder="0"/>
    </xf>
    <xf borderId="29" fillId="0" fontId="3" numFmtId="0" xfId="0" applyAlignment="1" applyBorder="1" applyFont="1">
      <alignment horizontal="center"/>
    </xf>
    <xf borderId="29" fillId="0" fontId="3" numFmtId="164" xfId="0" applyAlignment="1" applyBorder="1" applyFont="1" applyNumberFormat="1">
      <alignment horizontal="center" readingOrder="0"/>
    </xf>
    <xf borderId="29" fillId="0" fontId="3" numFmtId="164" xfId="0" applyAlignment="1" applyBorder="1" applyFont="1" applyNumberFormat="1">
      <alignment horizontal="center" readingOrder="0"/>
    </xf>
    <xf borderId="27" fillId="0" fontId="20" numFmtId="0" xfId="0" applyAlignment="1" applyBorder="1" applyFont="1">
      <alignment horizontal="center" readingOrder="0"/>
    </xf>
    <xf borderId="29" fillId="6" fontId="18" numFmtId="164" xfId="0" applyAlignment="1" applyBorder="1" applyFont="1" applyNumberFormat="1">
      <alignment horizontal="center"/>
    </xf>
    <xf borderId="30" fillId="0" fontId="21" numFmtId="0" xfId="0" applyAlignment="1" applyBorder="1" applyFont="1">
      <alignment readingOrder="0" shrinkToFit="0" vertical="bottom" wrapText="0"/>
    </xf>
    <xf borderId="30" fillId="0" fontId="18" numFmtId="0" xfId="0" applyAlignment="1" applyBorder="1" applyFont="1">
      <alignment shrinkToFit="0" vertical="bottom" wrapText="0"/>
    </xf>
    <xf borderId="30" fillId="0" fontId="18" numFmtId="0" xfId="0" applyAlignment="1" applyBorder="1" applyFont="1">
      <alignment horizontal="center" shrinkToFit="0" vertical="bottom" wrapText="0"/>
    </xf>
    <xf borderId="30" fillId="0" fontId="4" numFmtId="0" xfId="0" applyBorder="1" applyFont="1"/>
    <xf borderId="30" fillId="0" fontId="18" numFmtId="164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vertical="bottom"/>
    </xf>
    <xf borderId="0" fillId="0" fontId="3" numFmtId="0" xfId="0" applyAlignment="1" applyFont="1">
      <alignment horizontal="center" shrinkToFit="0" wrapText="0"/>
    </xf>
    <xf borderId="0" fillId="0" fontId="3" numFmtId="164" xfId="0" applyAlignment="1" applyFont="1" applyNumberFormat="1">
      <alignment horizontal="center" readingOrder="0" shrinkToFit="0" wrapText="0"/>
    </xf>
    <xf borderId="26" fillId="0" fontId="3" numFmtId="0" xfId="0" applyAlignment="1" applyBorder="1" applyFont="1">
      <alignment readingOrder="0" shrinkToFit="0" vertical="bottom" wrapText="0"/>
    </xf>
    <xf borderId="26" fillId="0" fontId="3" numFmtId="0" xfId="0" applyAlignment="1" applyBorder="1" applyFont="1">
      <alignment shrinkToFit="0" vertical="bottom" wrapText="0"/>
    </xf>
    <xf borderId="26" fillId="0" fontId="3" numFmtId="0" xfId="0" applyAlignment="1" applyBorder="1" applyFont="1">
      <alignment horizontal="center" shrinkToFit="0" wrapText="0"/>
    </xf>
    <xf borderId="26" fillId="0" fontId="3" numFmtId="16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19" fillId="0" fontId="3" numFmtId="164" xfId="0" applyAlignment="1" applyBorder="1" applyFont="1" applyNumberFormat="1">
      <alignment horizontal="center" readingOrder="0" shrinkToFit="0" wrapText="0"/>
    </xf>
    <xf borderId="31" fillId="2" fontId="2" numFmtId="0" xfId="0" applyAlignment="1" applyBorder="1" applyFont="1">
      <alignment horizontal="center" vertical="bottom"/>
    </xf>
    <xf borderId="26" fillId="0" fontId="5" numFmtId="0" xfId="0" applyBorder="1" applyFont="1"/>
    <xf borderId="29" fillId="0" fontId="5" numFmtId="0" xfId="0" applyBorder="1" applyFont="1"/>
    <xf borderId="0" fillId="0" fontId="4" numFmtId="0" xfId="0" applyAlignment="1" applyFont="1">
      <alignment vertical="bottom"/>
    </xf>
    <xf borderId="28" fillId="0" fontId="22" numFmtId="0" xfId="0" applyAlignment="1" applyBorder="1" applyFont="1">
      <alignment horizontal="center" vertical="bottom"/>
    </xf>
    <xf borderId="29" fillId="0" fontId="22" numFmtId="167" xfId="0" applyAlignment="1" applyBorder="1" applyFont="1" applyNumberFormat="1">
      <alignment horizontal="center" vertical="bottom"/>
    </xf>
    <xf borderId="29" fillId="0" fontId="22" numFmtId="0" xfId="0" applyAlignment="1" applyBorder="1" applyFont="1">
      <alignment horizontal="center" vertical="bottom"/>
    </xf>
    <xf borderId="29" fillId="0" fontId="23" numFmtId="164" xfId="0" applyAlignment="1" applyBorder="1" applyFont="1" applyNumberFormat="1">
      <alignment horizontal="center" vertical="bottom"/>
    </xf>
    <xf borderId="29" fillId="0" fontId="22" numFmtId="164" xfId="0" applyAlignment="1" applyBorder="1" applyFont="1" applyNumberFormat="1">
      <alignment horizontal="center" vertical="bottom"/>
    </xf>
    <xf borderId="26" fillId="2" fontId="4" numFmtId="0" xfId="0" applyAlignment="1" applyBorder="1" applyFont="1">
      <alignment vertical="bottom"/>
    </xf>
    <xf borderId="28" fillId="0" fontId="13" numFmtId="0" xfId="0" applyAlignment="1" applyBorder="1" applyFont="1">
      <alignment horizontal="center" vertical="bottom"/>
    </xf>
    <xf borderId="29" fillId="0" fontId="10" numFmtId="167" xfId="0" applyAlignment="1" applyBorder="1" applyFont="1" applyNumberFormat="1">
      <alignment readingOrder="0" vertical="bottom"/>
    </xf>
    <xf borderId="29" fillId="0" fontId="10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readingOrder="0" vertical="bottom"/>
    </xf>
    <xf borderId="29" fillId="0" fontId="4" numFmtId="0" xfId="0" applyAlignment="1" applyBorder="1" applyFont="1">
      <alignment vertical="bottom"/>
    </xf>
    <xf borderId="29" fillId="0" fontId="10" numFmtId="164" xfId="0" applyAlignment="1" applyBorder="1" applyFont="1" applyNumberFormat="1">
      <alignment vertical="bottom"/>
    </xf>
    <xf borderId="29" fillId="0" fontId="4" numFmtId="164" xfId="0" applyAlignment="1" applyBorder="1" applyFont="1" applyNumberFormat="1">
      <alignment vertical="bottom"/>
    </xf>
    <xf borderId="31" fillId="0" fontId="24" numFmtId="0" xfId="0" applyAlignment="1" applyBorder="1" applyFont="1">
      <alignment horizontal="center" vertical="bottom"/>
    </xf>
    <xf borderId="26" fillId="0" fontId="4" numFmtId="0" xfId="0" applyAlignment="1" applyBorder="1" applyFont="1">
      <alignment vertical="bottom"/>
    </xf>
    <xf borderId="26" fillId="0" fontId="4" numFmtId="167" xfId="0" applyAlignment="1" applyBorder="1" applyFont="1" applyNumberFormat="1">
      <alignment vertical="bottom"/>
    </xf>
    <xf borderId="26" fillId="0" fontId="4" numFmtId="164" xfId="0" applyAlignment="1" applyBorder="1" applyFont="1" applyNumberFormat="1">
      <alignment vertical="bottom"/>
    </xf>
    <xf borderId="31" fillId="0" fontId="25" numFmtId="0" xfId="0" applyAlignment="1" applyBorder="1" applyFont="1">
      <alignment vertical="bottom"/>
    </xf>
    <xf borderId="29" fillId="0" fontId="10" numFmtId="167" xfId="0" applyAlignment="1" applyBorder="1" applyFont="1" applyNumberFormat="1">
      <alignment horizontal="left" readingOrder="0" vertical="bottom"/>
    </xf>
    <xf borderId="28" fillId="0" fontId="13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horizontal="left" readingOrder="0" vertical="bottom"/>
    </xf>
    <xf borderId="29" fillId="0" fontId="24" numFmtId="0" xfId="0" applyAlignment="1" applyBorder="1" applyFont="1">
      <alignment horizontal="center" vertical="bottom"/>
    </xf>
    <xf borderId="29" fillId="0" fontId="26" numFmtId="164" xfId="0" applyAlignment="1" applyBorder="1" applyFont="1" applyNumberFormat="1">
      <alignment horizontal="center" readingOrder="0" vertical="bottom"/>
    </xf>
    <xf borderId="0" fillId="0" fontId="27" numFmtId="0" xfId="0" applyFont="1"/>
    <xf borderId="30" fillId="0" fontId="1" numFmtId="0" xfId="0" applyAlignment="1" applyBorder="1" applyFont="1">
      <alignment horizontal="center" readingOrder="0" shrinkToFit="0" vertical="bottom" wrapText="0"/>
    </xf>
    <xf borderId="30" fillId="0" fontId="28" numFmtId="0" xfId="0" applyAlignment="1" applyBorder="1" applyFont="1">
      <alignment horizontal="center" readingOrder="0" shrinkToFit="0" vertical="bottom" wrapText="0"/>
    </xf>
    <xf borderId="32" fillId="7" fontId="1" numFmtId="0" xfId="0" applyAlignment="1" applyBorder="1" applyFill="1" applyFont="1">
      <alignment horizontal="center" readingOrder="0" shrinkToFit="0" vertical="bottom" wrapText="0"/>
    </xf>
    <xf borderId="27" fillId="8" fontId="28" numFmtId="0" xfId="0" applyAlignment="1" applyBorder="1" applyFill="1" applyFont="1">
      <alignment horizontal="left" readingOrder="0" shrinkToFit="0" vertical="bottom" wrapText="0"/>
    </xf>
    <xf borderId="15" fillId="8" fontId="28" numFmtId="0" xfId="0" applyAlignment="1" applyBorder="1" applyFont="1">
      <alignment horizontal="left" readingOrder="0" shrinkToFit="0" vertical="bottom" wrapText="0"/>
    </xf>
    <xf borderId="33" fillId="8" fontId="28" numFmtId="164" xfId="0" applyAlignment="1" applyBorder="1" applyFont="1" applyNumberFormat="1">
      <alignment horizontal="left" readingOrder="0" shrinkToFit="0" vertical="bottom" wrapText="0"/>
    </xf>
    <xf borderId="28" fillId="0" fontId="28" numFmtId="0" xfId="0" applyAlignment="1" applyBorder="1" applyFont="1">
      <alignment horizontal="center" readingOrder="0" shrinkToFit="0" vertical="bottom" wrapText="0"/>
    </xf>
    <xf borderId="28" fillId="0" fontId="28" numFmtId="164" xfId="0" applyAlignment="1" applyBorder="1" applyFont="1" applyNumberFormat="1">
      <alignment horizontal="center" readingOrder="0" shrinkToFit="0" vertical="bottom" wrapText="0"/>
    </xf>
    <xf borderId="30" fillId="0" fontId="28" numFmtId="164" xfId="0" applyAlignment="1" applyBorder="1" applyFont="1" applyNumberFormat="1">
      <alignment horizontal="center" readingOrder="0" shrinkToFit="0" vertical="bottom" wrapText="0"/>
    </xf>
    <xf borderId="30" fillId="0" fontId="10" numFmtId="0" xfId="0" applyBorder="1" applyFont="1"/>
    <xf borderId="30" fillId="0" fontId="10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980000"/>
      </font>
      <fill>
        <patternFill patternType="none"/>
      </fill>
      <border/>
    </dxf>
  </dxfs>
  <tableStyles count="14">
    <tableStyle count="2" pivot="0" name="Master Budget 20252026-style">
      <tableStyleElement dxfId="1" type="firstRowStripe"/>
      <tableStyleElement dxfId="1" type="secondRowStripe"/>
    </tableStyle>
    <tableStyle count="2" pivot="0" name="Master Budget 20252026-style 2">
      <tableStyleElement dxfId="1" type="firstRowStripe"/>
      <tableStyleElement dxfId="1" type="secondRowStripe"/>
    </tableStyle>
    <tableStyle count="2" pivot="0" name="Networking Event (CGI)  - Sept -style">
      <tableStyleElement dxfId="1" type="firstRowStripe"/>
      <tableStyleElement dxfId="1" type="secondRowStripe"/>
    </tableStyle>
    <tableStyle count="2" pivot="0" name="Networking Event (CGI)  - Sept -style 2">
      <tableStyleElement dxfId="1" type="firstRowStripe"/>
      <tableStyleElement dxfId="1" type="secondRowStripe"/>
    </tableStyle>
    <tableStyle count="2" pivot="0" name=" Office Tour #1 - Sept 2025-style">
      <tableStyleElement dxfId="1" type="firstRowStripe"/>
      <tableStyleElement dxfId="1" type="secondRowStripe"/>
    </tableStyle>
    <tableStyle count="2" pivot="0" name=" Office Tour #1 - Sept 2025-style 2">
      <tableStyleElement dxfId="1" type="firstRowStripe"/>
      <tableStyleElement dxfId="1" type="secondRowStripe"/>
    </tableStyle>
    <tableStyle count="2" pivot="0" name="Office Tour #2 - Oct 2025-style">
      <tableStyleElement dxfId="1" type="firstRowStripe"/>
      <tableStyleElement dxfId="1" type="secondRowStripe"/>
    </tableStyle>
    <tableStyle count="2" pivot="0" name="Office Tour #2 - Oct 2025-style 2">
      <tableStyleElement dxfId="1" type="firstRowStripe"/>
      <tableStyleElement dxfId="1" type="secondRowStripe"/>
    </tableStyle>
    <tableStyle count="2" pivot="0" name="Case Competition (CGI) - Oct 20-style">
      <tableStyleElement dxfId="1" type="firstRowStripe"/>
      <tableStyleElement dxfId="1" type="secondRowStripe"/>
    </tableStyle>
    <tableStyle count="2" pivot="0" name="Case Competition (CGI) - Oct 20-style 2">
      <tableStyleElement dxfId="1" type="firstRowStripe"/>
      <tableStyleElement dxfId="1" type="secondRowStripe"/>
    </tableStyle>
    <tableStyle count="2" pivot="0" name="WBC Panel Event - Nov 2025-style">
      <tableStyleElement dxfId="1" type="firstRowStripe"/>
      <tableStyleElement dxfId="1" type="secondRowStripe"/>
    </tableStyle>
    <tableStyle count="2" pivot="0" name="WBC Panel Event - Nov 2025-style 2">
      <tableStyleElement dxfId="1" type="firstRowStripe"/>
      <tableStyleElement dxfId="1" type="secondRowStripe"/>
    </tableStyle>
    <tableStyle count="2" pivot="0" name="Toronto Trip - Mar 2025-style">
      <tableStyleElement dxfId="1" type="firstRowStripe"/>
      <tableStyleElement dxfId="1" type="secondRowStripe"/>
    </tableStyle>
    <tableStyle count="2" pivot="0" name="Toronto Trip - Mar 2025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Q30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 Budget 2025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A34:Q59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 Budget 2025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J11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etworking Event (CGI)  - Sept -style" showColumnStripes="0" showFirstColumn="1" showLastColumn="1" showRowStripes="1"/>
</table>
</file>

<file path=xl/tables/table4.xml><?xml version="1.0" encoding="utf-8"?>
<table xmlns="http://schemas.openxmlformats.org/spreadsheetml/2006/main" headerRowCount="0" ref="A13:L18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etworking Event (CGI)  - Sept -style 2" showColumnStripes="0" showFirstColumn="1" showLastColumn="1" showRowStripes="1"/>
</table>
</file>

<file path=xl/tables/table5.xml><?xml version="1.0" encoding="utf-8"?>
<table xmlns="http://schemas.openxmlformats.org/spreadsheetml/2006/main" headerRowCount="0" ref="A6:J11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 Office Tour #1 - Sept 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13:J17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 Office Tour #1 - Sept 2025-style 2" showColumnStripes="0" showFirstColumn="1" showLastColumn="1" showRowStripes="1"/>
</table>
</file>

<file path=xl/tables/table7.xml><?xml version="1.0" encoding="utf-8"?>
<table xmlns="http://schemas.openxmlformats.org/spreadsheetml/2006/main" headerRowCount="0" ref="A6:J11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Office Tour #2 - Oct 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A13:J17" displayName="Table_8" name="Table_8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Office Tour #2 - Oct 2025-style 2" showColumnStripes="0" showFirstColumn="1" showLastColumn="1" showRowStripes="1"/>
</table>
</file>

<file path=xl/tables/table9.xml><?xml version="1.0" encoding="utf-8"?>
<table xmlns="http://schemas.openxmlformats.org/spreadsheetml/2006/main" headerRowCount="0" ref="A6:J11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ase Competition (CGI) - Oct 20-style" showColumnStripes="0" showFirstColumn="1" showLastColumn="1" showRowStripes="1"/>
</table>
</file>

<file path=xl/tables/table10.xml><?xml version="1.0" encoding="utf-8"?>
<table xmlns="http://schemas.openxmlformats.org/spreadsheetml/2006/main" headerRowCount="0" ref="A13:L18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se Competition (CGI) - Oct 20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6:J11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BC Panel Event - Nov 2025-style" showColumnStripes="0" showFirstColumn="1" showLastColumn="1" showRowStripes="1"/>
</table>
</file>

<file path=xl/tables/table12.xml><?xml version="1.0" encoding="utf-8"?>
<table xmlns="http://schemas.openxmlformats.org/spreadsheetml/2006/main" headerRowCount="0" ref="A13:L18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BC Panel Event - Nov 2025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6:N13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ronto Trip - Mar 2025-style" showColumnStripes="0" showFirstColumn="1" showLastColumn="1" showRowStripes="1"/>
</table>
</file>

<file path=xl/tables/table14.xml><?xml version="1.0" encoding="utf-8"?>
<table xmlns="http://schemas.openxmlformats.org/spreadsheetml/2006/main" headerRowCount="0" ref="A15:N1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ronto Trip - Mar 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9.88"/>
    <col customWidth="1" min="3" max="3" width="8.5"/>
    <col customWidth="1" min="4" max="4" width="11.13"/>
    <col customWidth="1" min="5" max="5" width="18.13"/>
    <col customWidth="1" min="6" max="6" width="8.5"/>
    <col customWidth="1" min="7" max="7" width="11.13"/>
    <col customWidth="1" min="8" max="8" width="14.88"/>
    <col customWidth="1" min="9" max="9" width="12.13"/>
    <col customWidth="1" min="10" max="13" width="14.0"/>
    <col customWidth="1" min="14" max="17" width="15.75"/>
    <col customWidth="1" min="18" max="19" width="1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4"/>
      <c r="U3" s="4"/>
      <c r="V3" s="4"/>
      <c r="W3" s="4"/>
      <c r="X3" s="4"/>
      <c r="Y3" s="4"/>
      <c r="Z3" s="4"/>
    </row>
    <row r="4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2"/>
      <c r="R4" s="3"/>
      <c r="S4" s="3"/>
      <c r="T4" s="4"/>
      <c r="U4" s="4"/>
      <c r="V4" s="4"/>
      <c r="W4" s="4"/>
      <c r="X4" s="4"/>
      <c r="Y4" s="4"/>
      <c r="Z4" s="4"/>
    </row>
    <row r="5">
      <c r="A5" s="9"/>
      <c r="H5" s="10" t="s">
        <v>3</v>
      </c>
      <c r="I5" s="11"/>
      <c r="J5" s="12"/>
      <c r="K5" s="13" t="s">
        <v>4</v>
      </c>
      <c r="L5" s="11"/>
      <c r="M5" s="12"/>
      <c r="N5" s="14" t="s">
        <v>5</v>
      </c>
      <c r="O5" s="11"/>
      <c r="P5" s="15"/>
      <c r="Q5" s="2"/>
      <c r="R5" s="3"/>
      <c r="S5" s="3"/>
      <c r="T5" s="4"/>
      <c r="U5" s="4"/>
      <c r="V5" s="4"/>
      <c r="W5" s="4"/>
      <c r="X5" s="4"/>
      <c r="Y5" s="4"/>
      <c r="Z5" s="4"/>
    </row>
    <row r="6">
      <c r="A6" s="16" t="s">
        <v>6</v>
      </c>
      <c r="B6" s="17"/>
      <c r="C6" s="17"/>
      <c r="D6" s="17"/>
      <c r="E6" s="17"/>
      <c r="F6" s="17"/>
      <c r="G6" s="17"/>
      <c r="H6" s="18" t="s">
        <v>7</v>
      </c>
      <c r="I6" s="19" t="s">
        <v>8</v>
      </c>
      <c r="J6" s="19" t="s">
        <v>9</v>
      </c>
      <c r="K6" s="20" t="s">
        <v>7</v>
      </c>
      <c r="L6" s="21" t="s">
        <v>8</v>
      </c>
      <c r="M6" s="21" t="s">
        <v>9</v>
      </c>
      <c r="N6" s="20" t="s">
        <v>7</v>
      </c>
      <c r="O6" s="21" t="s">
        <v>8</v>
      </c>
      <c r="P6" s="22" t="s">
        <v>9</v>
      </c>
      <c r="Q6" s="23"/>
      <c r="R6" s="3"/>
      <c r="S6" s="3"/>
      <c r="T6" s="4"/>
      <c r="U6" s="4"/>
      <c r="V6" s="4"/>
      <c r="W6" s="4"/>
      <c r="X6" s="4"/>
      <c r="Y6" s="4"/>
      <c r="Z6" s="4"/>
    </row>
    <row r="7">
      <c r="A7" s="24" t="s">
        <v>10</v>
      </c>
      <c r="B7" s="25"/>
      <c r="C7" s="25"/>
      <c r="D7" s="25"/>
      <c r="E7" s="25"/>
      <c r="F7" s="25"/>
      <c r="G7" s="25"/>
      <c r="H7" s="26"/>
      <c r="I7" s="25"/>
      <c r="J7" s="25"/>
      <c r="K7" s="27"/>
      <c r="L7" s="28"/>
      <c r="M7" s="28"/>
      <c r="N7" s="27"/>
      <c r="O7" s="28"/>
      <c r="P7" s="29"/>
      <c r="Q7" s="30"/>
      <c r="R7" s="31"/>
      <c r="S7" s="31"/>
      <c r="T7" s="4"/>
      <c r="U7" s="4"/>
      <c r="V7" s="4"/>
      <c r="W7" s="4"/>
      <c r="X7" s="4"/>
      <c r="Y7" s="4"/>
      <c r="Z7" s="4"/>
    </row>
    <row r="8">
      <c r="A8" s="32"/>
      <c r="B8" s="33" t="s">
        <v>11</v>
      </c>
      <c r="C8" s="34"/>
      <c r="D8" s="35"/>
      <c r="E8" s="35"/>
      <c r="F8" s="35"/>
      <c r="G8" s="35"/>
      <c r="H8" s="36"/>
      <c r="I8" s="35"/>
      <c r="J8" s="35"/>
      <c r="K8" s="37"/>
      <c r="L8" s="38"/>
      <c r="M8" s="38"/>
      <c r="N8" s="37"/>
      <c r="O8" s="38"/>
      <c r="P8" s="29"/>
      <c r="Q8" s="39"/>
      <c r="R8" s="3"/>
      <c r="S8" s="3"/>
      <c r="T8" s="4"/>
      <c r="U8" s="4"/>
      <c r="V8" s="4"/>
      <c r="W8" s="4"/>
      <c r="X8" s="4"/>
      <c r="Y8" s="4"/>
      <c r="Z8" s="4"/>
    </row>
    <row r="9">
      <c r="A9" s="40"/>
      <c r="B9" s="34" t="s">
        <v>12</v>
      </c>
      <c r="C9" s="35"/>
      <c r="D9" s="35"/>
      <c r="E9" s="35"/>
      <c r="F9" s="35"/>
      <c r="G9" s="35"/>
      <c r="H9" s="36"/>
      <c r="I9" s="35"/>
      <c r="J9" s="35"/>
      <c r="K9" s="37"/>
      <c r="L9" s="38"/>
      <c r="M9" s="38"/>
      <c r="N9" s="37"/>
      <c r="O9" s="38"/>
      <c r="P9" s="29"/>
      <c r="Q9" s="39"/>
      <c r="R9" s="3"/>
      <c r="S9" s="3"/>
      <c r="T9" s="4"/>
      <c r="U9" s="4"/>
      <c r="V9" s="4"/>
      <c r="W9" s="4"/>
      <c r="X9" s="4"/>
      <c r="Y9" s="4"/>
      <c r="Z9" s="4"/>
    </row>
    <row r="10">
      <c r="A10" s="32" t="s">
        <v>13</v>
      </c>
      <c r="B10" s="35"/>
      <c r="C10" s="35"/>
      <c r="D10" s="35"/>
      <c r="E10" s="35"/>
      <c r="F10" s="35"/>
      <c r="G10" s="35"/>
      <c r="H10" s="41">
        <f t="shared" ref="H10:I10" si="1">sum(H8:H9)</f>
        <v>0</v>
      </c>
      <c r="I10" s="42">
        <f t="shared" si="1"/>
        <v>0</v>
      </c>
      <c r="J10" s="42"/>
      <c r="K10" s="43">
        <f t="shared" ref="K10:L10" si="2">sum(K8:K9)</f>
        <v>0</v>
      </c>
      <c r="L10" s="44">
        <f t="shared" si="2"/>
        <v>0</v>
      </c>
      <c r="M10" s="45"/>
      <c r="N10" s="46">
        <v>0.0</v>
      </c>
      <c r="O10" s="47">
        <v>0.0</v>
      </c>
      <c r="P10" s="48"/>
      <c r="Q10" s="39"/>
      <c r="R10" s="3"/>
      <c r="S10" s="3"/>
      <c r="T10" s="4"/>
      <c r="U10" s="4"/>
      <c r="V10" s="4"/>
      <c r="W10" s="4"/>
      <c r="X10" s="4"/>
      <c r="Y10" s="4"/>
      <c r="Z10" s="4"/>
    </row>
    <row r="11">
      <c r="A11" s="49" t="s">
        <v>14</v>
      </c>
      <c r="B11" s="35"/>
      <c r="C11" s="35"/>
      <c r="D11" s="35"/>
      <c r="E11" s="35"/>
      <c r="F11" s="35"/>
      <c r="G11" s="35"/>
      <c r="H11" s="36"/>
      <c r="I11" s="35"/>
      <c r="J11" s="35"/>
      <c r="K11" s="37"/>
      <c r="L11" s="38"/>
      <c r="M11" s="38"/>
      <c r="N11" s="37"/>
      <c r="O11" s="38"/>
      <c r="P11" s="50"/>
      <c r="Q11" s="39"/>
      <c r="R11" s="4"/>
      <c r="S11" s="4"/>
      <c r="T11" s="4"/>
      <c r="U11" s="4"/>
      <c r="V11" s="4"/>
      <c r="W11" s="4"/>
      <c r="X11" s="4"/>
      <c r="Y11" s="4"/>
      <c r="Z11" s="4"/>
    </row>
    <row r="12">
      <c r="A12" s="51"/>
      <c r="B12" s="34" t="s">
        <v>15</v>
      </c>
      <c r="C12" s="35"/>
      <c r="D12" s="35"/>
      <c r="E12" s="35"/>
      <c r="F12" s="35"/>
      <c r="G12" s="35"/>
      <c r="H12" s="52"/>
      <c r="I12" s="34"/>
      <c r="J12" s="35"/>
      <c r="K12" s="53"/>
      <c r="L12" s="54"/>
      <c r="M12" s="38"/>
      <c r="N12" s="55"/>
      <c r="O12" s="56"/>
      <c r="P12" s="50"/>
      <c r="Q12" s="39"/>
      <c r="R12" s="4"/>
      <c r="S12" s="4"/>
      <c r="T12" s="4"/>
      <c r="U12" s="4"/>
      <c r="V12" s="4"/>
      <c r="W12" s="4"/>
      <c r="X12" s="4"/>
      <c r="Y12" s="4"/>
      <c r="Z12" s="4"/>
    </row>
    <row r="13">
      <c r="A13" s="51"/>
      <c r="B13" s="34" t="s">
        <v>16</v>
      </c>
      <c r="C13" s="35"/>
      <c r="D13" s="35"/>
      <c r="E13" s="35"/>
      <c r="F13" s="35"/>
      <c r="G13" s="35"/>
      <c r="H13" s="52" t="str">
        <f t="shared" ref="H13:I13" si="3">'Behind the Scenes - Apr 2024'!H10</f>
        <v>#REF!</v>
      </c>
      <c r="I13" s="34" t="str">
        <f t="shared" si="3"/>
        <v>#REF!</v>
      </c>
      <c r="J13" s="35"/>
      <c r="K13" s="53">
        <v>0.0</v>
      </c>
      <c r="L13" s="54">
        <v>0.0</v>
      </c>
      <c r="M13" s="38"/>
      <c r="N13" s="55" t="str">
        <f t="shared" ref="N13:O13" si="4">'Behind the Scenes - Apr 2024'!N10</f>
        <v>#REF!</v>
      </c>
      <c r="O13" s="56" t="str">
        <f t="shared" si="4"/>
        <v>#REF!</v>
      </c>
      <c r="P13" s="50"/>
      <c r="Q13" s="39"/>
      <c r="R13" s="4"/>
      <c r="S13" s="4"/>
      <c r="T13" s="4"/>
      <c r="U13" s="4"/>
      <c r="V13" s="4"/>
      <c r="W13" s="4"/>
      <c r="X13" s="4"/>
      <c r="Y13" s="4"/>
      <c r="Z13" s="4"/>
    </row>
    <row r="14">
      <c r="A14" s="51"/>
      <c r="B14" s="34" t="s">
        <v>17</v>
      </c>
      <c r="C14" s="35"/>
      <c r="D14" s="35"/>
      <c r="E14" s="35"/>
      <c r="F14" s="35"/>
      <c r="G14" s="35"/>
      <c r="H14" s="36"/>
      <c r="I14" s="35"/>
      <c r="J14" s="35"/>
      <c r="K14" s="57" t="str">
        <f t="shared" ref="K14:L14" si="5">'BBQ Event - Sept 2024'!H9</f>
        <v>#REF!</v>
      </c>
      <c r="L14" s="58" t="str">
        <f t="shared" si="5"/>
        <v>#REF!</v>
      </c>
      <c r="M14" s="38"/>
      <c r="N14" s="37"/>
      <c r="O14" s="38"/>
      <c r="P14" s="50"/>
      <c r="Q14" s="39"/>
      <c r="R14" s="4"/>
      <c r="S14" s="4"/>
      <c r="T14" s="4"/>
      <c r="U14" s="4"/>
      <c r="V14" s="4"/>
      <c r="W14" s="4"/>
      <c r="X14" s="4"/>
      <c r="Y14" s="4"/>
      <c r="Z14" s="4"/>
    </row>
    <row r="15">
      <c r="A15" s="51"/>
      <c r="B15" s="34" t="s">
        <v>18</v>
      </c>
      <c r="C15" s="35"/>
      <c r="D15" s="35"/>
      <c r="E15" s="35"/>
      <c r="F15" s="35"/>
      <c r="G15" s="35"/>
      <c r="H15" s="36"/>
      <c r="I15" s="35"/>
      <c r="J15" s="35"/>
      <c r="K15" s="37">
        <f>'Networking Event (CGI)  - Sept '!H10</f>
        <v>0</v>
      </c>
      <c r="L15" s="38">
        <f>'Networking Event (CGI)  - Sept '!I10</f>
        <v>0</v>
      </c>
      <c r="M15" s="38"/>
      <c r="N15" s="37"/>
      <c r="O15" s="38"/>
      <c r="P15" s="50"/>
      <c r="Q15" s="39"/>
      <c r="R15" s="4"/>
      <c r="S15" s="4"/>
      <c r="T15" s="4"/>
      <c r="U15" s="4"/>
      <c r="V15" s="4"/>
      <c r="W15" s="4"/>
      <c r="X15" s="4"/>
      <c r="Y15" s="4"/>
      <c r="Z15" s="4"/>
    </row>
    <row r="16">
      <c r="A16" s="51"/>
      <c r="B16" s="34" t="s">
        <v>19</v>
      </c>
      <c r="C16" s="35"/>
      <c r="E16" s="35"/>
      <c r="F16" s="35"/>
      <c r="G16" s="35"/>
      <c r="H16" s="36"/>
      <c r="I16" s="35"/>
      <c r="J16" s="35"/>
      <c r="K16" s="59"/>
      <c r="M16" s="38"/>
      <c r="N16" s="57" t="str">
        <f t="shared" ref="N16:O16" si="6">'PWL Financial Lit - Mar 2025'!H10</f>
        <v>#REF!</v>
      </c>
      <c r="O16" s="58" t="str">
        <f t="shared" si="6"/>
        <v>#REF!</v>
      </c>
      <c r="P16" s="50"/>
      <c r="Q16" s="39"/>
      <c r="R16" s="4"/>
      <c r="S16" s="4"/>
      <c r="T16" s="4"/>
      <c r="U16" s="4"/>
      <c r="V16" s="4"/>
      <c r="W16" s="4"/>
      <c r="X16" s="4"/>
      <c r="Y16" s="4"/>
      <c r="Z16" s="4"/>
    </row>
    <row r="17">
      <c r="A17" s="51"/>
      <c r="B17" s="34" t="s">
        <v>20</v>
      </c>
      <c r="C17" s="35"/>
      <c r="E17" s="35"/>
      <c r="F17" s="35"/>
      <c r="G17" s="35"/>
      <c r="H17" s="36"/>
      <c r="I17" s="35"/>
      <c r="J17" s="35"/>
      <c r="K17" s="59"/>
      <c r="M17" s="38"/>
      <c r="N17" s="57">
        <v>0.0</v>
      </c>
      <c r="O17" s="58">
        <v>0.0</v>
      </c>
      <c r="P17" s="50"/>
      <c r="Q17" s="39"/>
      <c r="R17" s="4"/>
      <c r="S17" s="4"/>
      <c r="T17" s="4"/>
      <c r="U17" s="4"/>
      <c r="V17" s="4"/>
      <c r="W17" s="4"/>
      <c r="X17" s="4"/>
      <c r="Y17" s="4"/>
      <c r="Z17" s="4"/>
    </row>
    <row r="18">
      <c r="A18" s="51"/>
      <c r="B18" s="34" t="s">
        <v>15</v>
      </c>
      <c r="C18" s="35"/>
      <c r="E18" s="35"/>
      <c r="F18" s="35"/>
      <c r="G18" s="35"/>
      <c r="H18" s="36"/>
      <c r="I18" s="35"/>
      <c r="J18" s="35"/>
      <c r="K18" s="59"/>
      <c r="M18" s="38"/>
      <c r="N18" s="57" t="str">
        <f t="shared" ref="N18:O18" si="7">'BBS x Afriqcan Case Comp - Feb 2025'!H10</f>
        <v>#REF!</v>
      </c>
      <c r="O18" s="58" t="str">
        <f t="shared" si="7"/>
        <v>#REF!</v>
      </c>
      <c r="P18" s="50"/>
      <c r="Q18" s="39"/>
      <c r="R18" s="4"/>
      <c r="S18" s="4"/>
      <c r="T18" s="4"/>
      <c r="U18" s="4"/>
      <c r="V18" s="4"/>
      <c r="W18" s="4"/>
      <c r="X18" s="4"/>
      <c r="Y18" s="4"/>
      <c r="Z18" s="4"/>
    </row>
    <row r="19">
      <c r="A19" s="51"/>
      <c r="B19" s="34" t="s">
        <v>21</v>
      </c>
      <c r="C19" s="35"/>
      <c r="E19" s="35"/>
      <c r="F19" s="35"/>
      <c r="G19" s="35"/>
      <c r="H19" s="36"/>
      <c r="I19" s="35"/>
      <c r="J19" s="35"/>
      <c r="K19" s="59"/>
      <c r="M19" s="38"/>
      <c r="N19" s="57"/>
      <c r="O19" s="58"/>
      <c r="P19" s="50"/>
      <c r="Q19" s="39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32"/>
      <c r="B20" s="34"/>
      <c r="C20" s="35"/>
      <c r="D20" s="35"/>
      <c r="E20" s="60"/>
      <c r="F20" s="35"/>
      <c r="G20" s="35"/>
      <c r="H20" s="36"/>
      <c r="I20" s="35"/>
      <c r="J20" s="35"/>
      <c r="K20" s="59"/>
      <c r="M20" s="38"/>
      <c r="N20" s="55"/>
      <c r="O20" s="56"/>
      <c r="P20" s="50"/>
      <c r="Q20" s="39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32" t="s">
        <v>22</v>
      </c>
      <c r="B21" s="34"/>
      <c r="C21" s="35"/>
      <c r="D21" s="35"/>
      <c r="E21" s="60"/>
      <c r="F21" s="35"/>
      <c r="G21" s="35"/>
      <c r="H21" s="41" t="str">
        <f t="shared" ref="H21:I21" si="8">sum(H13:H20)</f>
        <v>#REF!</v>
      </c>
      <c r="I21" s="42" t="str">
        <f t="shared" si="8"/>
        <v>#REF!</v>
      </c>
      <c r="J21" s="42"/>
      <c r="K21" s="41" t="str">
        <f t="shared" ref="K21:L21" si="9">sum(K13:K20)</f>
        <v>#REF!</v>
      </c>
      <c r="L21" s="42" t="str">
        <f t="shared" si="9"/>
        <v>#REF!</v>
      </c>
      <c r="M21" s="45"/>
      <c r="N21" s="41" t="str">
        <f t="shared" ref="N21:O21" si="10">sum(N13:N20)</f>
        <v>#REF!</v>
      </c>
      <c r="O21" s="42" t="str">
        <f t="shared" si="10"/>
        <v>#REF!</v>
      </c>
      <c r="P21" s="48"/>
      <c r="Q21" s="39"/>
      <c r="R21" s="4"/>
      <c r="S21" s="4"/>
      <c r="T21" s="4"/>
      <c r="U21" s="4"/>
      <c r="V21" s="4"/>
      <c r="W21" s="4"/>
      <c r="X21" s="4"/>
      <c r="Y21" s="4"/>
      <c r="Z21" s="4"/>
    </row>
    <row r="22">
      <c r="A22" s="40" t="s">
        <v>23</v>
      </c>
      <c r="B22" s="35"/>
      <c r="C22" s="35"/>
      <c r="D22" s="35"/>
      <c r="E22" s="35"/>
      <c r="F22" s="35"/>
      <c r="G22" s="35"/>
      <c r="H22" s="36"/>
      <c r="I22" s="35"/>
      <c r="J22" s="35"/>
      <c r="K22" s="37"/>
      <c r="L22" s="38"/>
      <c r="M22" s="38"/>
      <c r="N22" s="37"/>
      <c r="O22" s="38"/>
      <c r="P22" s="50"/>
      <c r="Q22" s="39"/>
      <c r="R22" s="4"/>
      <c r="S22" s="4"/>
      <c r="T22" s="4"/>
      <c r="U22" s="4"/>
      <c r="V22" s="4"/>
      <c r="W22" s="4"/>
      <c r="X22" s="4"/>
      <c r="Y22" s="4"/>
      <c r="Z22" s="4"/>
    </row>
    <row r="23">
      <c r="A23" s="32"/>
      <c r="B23" s="34" t="s">
        <v>24</v>
      </c>
      <c r="C23" s="35"/>
      <c r="D23" s="35"/>
      <c r="E23" s="35"/>
      <c r="F23" s="35"/>
      <c r="G23" s="35"/>
      <c r="H23" s="52"/>
      <c r="I23" s="35"/>
      <c r="J23" s="35"/>
      <c r="K23" s="53"/>
      <c r="L23" s="58"/>
      <c r="M23" s="38"/>
      <c r="N23" s="55"/>
      <c r="O23" s="38"/>
      <c r="P23" s="50"/>
      <c r="Q23" s="39"/>
      <c r="R23" s="4"/>
      <c r="S23" s="4"/>
      <c r="T23" s="4"/>
      <c r="U23" s="4"/>
      <c r="V23" s="4"/>
      <c r="W23" s="4"/>
      <c r="X23" s="4"/>
      <c r="Y23" s="4"/>
      <c r="Z23" s="4"/>
    </row>
    <row r="24">
      <c r="A24" s="32"/>
      <c r="B24" s="34" t="s">
        <v>25</v>
      </c>
      <c r="C24" s="35"/>
      <c r="D24" s="35"/>
      <c r="E24" s="35"/>
      <c r="F24" s="35"/>
      <c r="G24" s="35"/>
      <c r="H24" s="52"/>
      <c r="I24" s="35"/>
      <c r="J24" s="35"/>
      <c r="K24" s="57"/>
      <c r="L24" s="58"/>
      <c r="M24" s="38"/>
      <c r="N24" s="37"/>
      <c r="O24" s="38"/>
      <c r="P24" s="50"/>
      <c r="Q24" s="39"/>
      <c r="R24" s="4"/>
      <c r="S24" s="4"/>
      <c r="T24" s="4"/>
      <c r="U24" s="4"/>
      <c r="V24" s="4"/>
      <c r="W24" s="4"/>
      <c r="X24" s="4"/>
      <c r="Y24" s="4"/>
      <c r="Z24" s="4"/>
    </row>
    <row r="25">
      <c r="A25" s="32"/>
      <c r="B25" s="34" t="s">
        <v>26</v>
      </c>
      <c r="C25" s="35"/>
      <c r="D25" s="35"/>
      <c r="E25" s="35"/>
      <c r="F25" s="35"/>
      <c r="G25" s="35"/>
      <c r="H25" s="36"/>
      <c r="I25" s="35"/>
      <c r="J25" s="35"/>
      <c r="K25" s="55"/>
      <c r="L25" s="56"/>
      <c r="M25" s="38"/>
      <c r="N25" s="55"/>
      <c r="O25" s="56"/>
      <c r="P25" s="50"/>
      <c r="Q25" s="39"/>
      <c r="R25" s="4"/>
      <c r="S25" s="4"/>
      <c r="T25" s="4"/>
      <c r="U25" s="4"/>
      <c r="V25" s="4"/>
      <c r="W25" s="4"/>
      <c r="X25" s="4"/>
      <c r="Y25" s="4"/>
      <c r="Z25" s="4"/>
    </row>
    <row r="26">
      <c r="A26" s="32"/>
      <c r="B26" s="34" t="s">
        <v>27</v>
      </c>
      <c r="C26" s="35"/>
      <c r="D26" s="35"/>
      <c r="E26" s="35"/>
      <c r="F26" s="35"/>
      <c r="G26" s="35"/>
      <c r="H26" s="36"/>
      <c r="I26" s="35"/>
      <c r="J26" s="35"/>
      <c r="K26" s="53"/>
      <c r="L26" s="54"/>
      <c r="M26" s="38"/>
      <c r="N26" s="53"/>
      <c r="O26" s="54"/>
      <c r="P26" s="50"/>
      <c r="Q26" s="39"/>
      <c r="R26" s="4"/>
      <c r="S26" s="4"/>
      <c r="T26" s="4"/>
      <c r="U26" s="4"/>
      <c r="V26" s="4"/>
      <c r="W26" s="4"/>
      <c r="X26" s="4"/>
      <c r="Y26" s="4"/>
      <c r="Z26" s="4"/>
    </row>
    <row r="27">
      <c r="A27" s="32"/>
      <c r="B27" s="34" t="s">
        <v>28</v>
      </c>
      <c r="C27" s="35"/>
      <c r="D27" s="35"/>
      <c r="E27" s="35"/>
      <c r="F27" s="35"/>
      <c r="G27" s="35"/>
      <c r="H27" s="36"/>
      <c r="I27" s="35"/>
      <c r="J27" s="35"/>
      <c r="K27" s="53"/>
      <c r="L27" s="54"/>
      <c r="M27" s="38"/>
      <c r="N27" s="53"/>
      <c r="O27" s="54"/>
      <c r="P27" s="50"/>
      <c r="Q27" s="39"/>
      <c r="R27" s="4"/>
      <c r="S27" s="4"/>
      <c r="T27" s="4"/>
      <c r="U27" s="4"/>
      <c r="V27" s="4"/>
      <c r="W27" s="4"/>
      <c r="X27" s="4"/>
      <c r="Y27" s="4"/>
      <c r="Z27" s="4"/>
    </row>
    <row r="28">
      <c r="A28" s="32"/>
      <c r="B28" s="34" t="s">
        <v>29</v>
      </c>
      <c r="C28" s="35"/>
      <c r="D28" s="35"/>
      <c r="E28" s="35"/>
      <c r="F28" s="35"/>
      <c r="G28" s="35"/>
      <c r="H28" s="36"/>
      <c r="I28" s="35"/>
      <c r="J28" s="35"/>
      <c r="K28" s="53"/>
      <c r="L28" s="54"/>
      <c r="M28" s="38"/>
      <c r="N28" s="53"/>
      <c r="O28" s="54"/>
      <c r="P28" s="50"/>
      <c r="Q28" s="39"/>
      <c r="R28" s="4"/>
      <c r="S28" s="4"/>
      <c r="T28" s="4"/>
      <c r="U28" s="4"/>
      <c r="V28" s="4"/>
      <c r="W28" s="4"/>
      <c r="X28" s="4"/>
      <c r="Y28" s="4"/>
      <c r="Z28" s="4"/>
    </row>
    <row r="29">
      <c r="A29" s="32" t="s">
        <v>30</v>
      </c>
      <c r="B29" s="35"/>
      <c r="C29" s="35"/>
      <c r="D29" s="35"/>
      <c r="E29" s="35"/>
      <c r="F29" s="35"/>
      <c r="G29" s="35"/>
      <c r="H29" s="41">
        <f t="shared" ref="H29:I29" si="11">sum(H23:H28)</f>
        <v>0</v>
      </c>
      <c r="I29" s="42">
        <f t="shared" si="11"/>
        <v>0</v>
      </c>
      <c r="J29" s="42"/>
      <c r="K29" s="41">
        <f t="shared" ref="K29:L29" si="12">sum(K23:K28)</f>
        <v>0</v>
      </c>
      <c r="L29" s="42">
        <f t="shared" si="12"/>
        <v>0</v>
      </c>
      <c r="M29" s="45">
        <f>K29-L29</f>
        <v>0</v>
      </c>
      <c r="N29" s="41">
        <f t="shared" ref="N29:O29" si="13">sum(N23:N28)</f>
        <v>0</v>
      </c>
      <c r="O29" s="42">
        <f t="shared" si="13"/>
        <v>0</v>
      </c>
      <c r="P29" s="48">
        <f>N29-O29</f>
        <v>0</v>
      </c>
      <c r="Q29" s="39"/>
      <c r="R29" s="4"/>
      <c r="S29" s="4"/>
      <c r="T29" s="4"/>
      <c r="U29" s="4"/>
      <c r="V29" s="4"/>
      <c r="W29" s="4"/>
      <c r="X29" s="4"/>
      <c r="Y29" s="4"/>
      <c r="Z29" s="4"/>
    </row>
    <row r="30">
      <c r="A30" s="51"/>
      <c r="B30" s="35"/>
      <c r="C30" s="35"/>
      <c r="D30" s="35"/>
      <c r="E30" s="35"/>
      <c r="F30" s="35"/>
      <c r="G30" s="35"/>
      <c r="H30" s="36"/>
      <c r="I30" s="35"/>
      <c r="J30" s="35"/>
      <c r="K30" s="37"/>
      <c r="L30" s="38"/>
      <c r="M30" s="38"/>
      <c r="N30" s="37"/>
      <c r="O30" s="38"/>
      <c r="P30" s="50"/>
      <c r="Q30" s="39"/>
      <c r="R30" s="4"/>
      <c r="S30" s="4"/>
      <c r="T30" s="4"/>
      <c r="U30" s="4"/>
      <c r="V30" s="4"/>
      <c r="W30" s="4"/>
      <c r="X30" s="4"/>
      <c r="Y30" s="4"/>
      <c r="Z30" s="4"/>
    </row>
    <row r="31">
      <c r="A31" s="61" t="s">
        <v>31</v>
      </c>
      <c r="B31" s="62"/>
      <c r="C31" s="62"/>
      <c r="D31" s="62"/>
      <c r="E31" s="62"/>
      <c r="F31" s="62"/>
      <c r="G31" s="62"/>
      <c r="H31" s="63" t="str">
        <f t="shared" ref="H31:I31" si="14">sum(H10,H21,H29)</f>
        <v>#REF!</v>
      </c>
      <c r="I31" s="62" t="str">
        <f t="shared" si="14"/>
        <v>#REF!</v>
      </c>
      <c r="J31" s="62"/>
      <c r="K31" s="64" t="str">
        <f t="shared" ref="K31:L31" si="15">sum(K10,K21,K29)</f>
        <v>#REF!</v>
      </c>
      <c r="L31" s="65" t="str">
        <f t="shared" si="15"/>
        <v>#REF!</v>
      </c>
      <c r="M31" s="66" t="str">
        <f>K31-L31</f>
        <v>#REF!</v>
      </c>
      <c r="N31" s="64" t="str">
        <f t="shared" ref="N31:O31" si="16">sum(N10,N21,N29)</f>
        <v>#REF!</v>
      </c>
      <c r="O31" s="65" t="str">
        <f t="shared" si="16"/>
        <v>#REF!</v>
      </c>
      <c r="P31" s="67" t="str">
        <f>N31-O31</f>
        <v>#REF!</v>
      </c>
      <c r="Q31" s="68"/>
      <c r="T31" s="4"/>
      <c r="U31" s="4"/>
      <c r="V31" s="4"/>
      <c r="W31" s="4"/>
      <c r="X31" s="4"/>
      <c r="Y31" s="4"/>
      <c r="Z31" s="4"/>
    </row>
    <row r="32">
      <c r="A32" s="16"/>
      <c r="B32" s="69"/>
      <c r="C32" s="69"/>
      <c r="D32" s="69"/>
      <c r="E32" s="69"/>
      <c r="F32" s="69"/>
      <c r="G32" s="69"/>
      <c r="H32" s="70"/>
      <c r="I32" s="69"/>
      <c r="J32" s="69"/>
      <c r="K32" s="71"/>
      <c r="L32" s="72"/>
      <c r="M32" s="72"/>
      <c r="N32" s="71"/>
      <c r="O32" s="72"/>
      <c r="P32" s="73"/>
      <c r="Q32" s="74"/>
      <c r="T32" s="4"/>
      <c r="U32" s="4"/>
      <c r="V32" s="4"/>
      <c r="W32" s="4"/>
      <c r="X32" s="4"/>
      <c r="Y32" s="4"/>
      <c r="Z32" s="4"/>
    </row>
    <row r="33">
      <c r="A33" s="16" t="s">
        <v>32</v>
      </c>
      <c r="B33" s="69"/>
      <c r="C33" s="69"/>
      <c r="D33" s="69"/>
      <c r="E33" s="69"/>
      <c r="F33" s="69"/>
      <c r="G33" s="69"/>
      <c r="H33" s="75" t="s">
        <v>7</v>
      </c>
      <c r="I33" s="17" t="s">
        <v>8</v>
      </c>
      <c r="J33" s="17" t="s">
        <v>9</v>
      </c>
      <c r="K33" s="76" t="s">
        <v>7</v>
      </c>
      <c r="L33" s="77" t="s">
        <v>8</v>
      </c>
      <c r="M33" s="77" t="s">
        <v>9</v>
      </c>
      <c r="N33" s="78" t="s">
        <v>7</v>
      </c>
      <c r="O33" s="79" t="s">
        <v>8</v>
      </c>
      <c r="P33" s="80" t="s">
        <v>9</v>
      </c>
      <c r="Q33" s="74"/>
      <c r="T33" s="4"/>
      <c r="U33" s="4"/>
      <c r="V33" s="4"/>
      <c r="W33" s="4"/>
      <c r="X33" s="4"/>
      <c r="Y33" s="4"/>
      <c r="Z33" s="4"/>
    </row>
    <row r="34">
      <c r="A34" s="81" t="s">
        <v>33</v>
      </c>
      <c r="B34" s="82"/>
      <c r="C34" s="82"/>
      <c r="D34" s="82"/>
      <c r="E34" s="82"/>
      <c r="F34" s="82"/>
      <c r="G34" s="82"/>
      <c r="H34" s="83"/>
      <c r="I34" s="82"/>
      <c r="J34" s="82"/>
      <c r="K34" s="37"/>
      <c r="L34" s="38"/>
      <c r="M34" s="38"/>
      <c r="N34" s="37"/>
      <c r="O34" s="38"/>
      <c r="P34" s="50"/>
      <c r="Q34" s="84"/>
      <c r="R34" s="85"/>
      <c r="T34" s="4"/>
      <c r="U34" s="4"/>
      <c r="V34" s="4"/>
      <c r="W34" s="4"/>
      <c r="X34" s="4"/>
      <c r="Y34" s="4"/>
      <c r="Z34" s="4"/>
    </row>
    <row r="35">
      <c r="A35" s="86"/>
      <c r="B35" s="87" t="s">
        <v>34</v>
      </c>
      <c r="C35" s="88"/>
      <c r="D35" s="35"/>
      <c r="E35" s="35"/>
      <c r="F35" s="35"/>
      <c r="G35" s="35"/>
      <c r="H35" s="36"/>
      <c r="I35" s="35"/>
      <c r="J35" s="35"/>
      <c r="K35" s="55"/>
      <c r="L35" s="56"/>
      <c r="M35" s="56"/>
      <c r="N35" s="55" t="str">
        <f t="shared" ref="N35:O35" si="17">'Behind the Scenes - Apr 2024'!N49</f>
        <v>#REF!</v>
      </c>
      <c r="O35" s="56" t="str">
        <f t="shared" si="17"/>
        <v>#REF!</v>
      </c>
      <c r="P35" s="89"/>
      <c r="Q35" s="39"/>
      <c r="R35" s="85"/>
      <c r="T35" s="4"/>
      <c r="U35" s="4"/>
      <c r="V35" s="4"/>
      <c r="W35" s="4"/>
      <c r="X35" s="4"/>
      <c r="Y35" s="4"/>
      <c r="Z35" s="4"/>
    </row>
    <row r="36">
      <c r="A36" s="86"/>
      <c r="B36" s="87" t="s">
        <v>35</v>
      </c>
      <c r="C36" s="88"/>
      <c r="D36" s="35"/>
      <c r="E36" s="35"/>
      <c r="F36" s="35"/>
      <c r="G36" s="35"/>
      <c r="H36" s="36"/>
      <c r="I36" s="35"/>
      <c r="J36" s="35"/>
      <c r="K36" s="57"/>
      <c r="L36" s="58"/>
      <c r="M36" s="58"/>
      <c r="N36" s="57"/>
      <c r="O36" s="38"/>
      <c r="P36" s="89"/>
      <c r="Q36" s="39"/>
      <c r="R36" s="85"/>
      <c r="T36" s="4"/>
      <c r="U36" s="4"/>
      <c r="V36" s="4"/>
      <c r="W36" s="4"/>
      <c r="X36" s="4"/>
      <c r="Y36" s="4"/>
      <c r="Z36" s="4"/>
    </row>
    <row r="37">
      <c r="A37" s="86"/>
      <c r="B37" s="87" t="s">
        <v>36</v>
      </c>
      <c r="C37" s="88"/>
      <c r="D37" s="35"/>
      <c r="E37" s="35"/>
      <c r="F37" s="35"/>
      <c r="G37" s="35"/>
      <c r="H37" s="36"/>
      <c r="I37" s="35"/>
      <c r="J37" s="35"/>
      <c r="K37" s="57"/>
      <c r="L37" s="38"/>
      <c r="M37" s="58"/>
      <c r="N37" s="37"/>
      <c r="O37" s="38"/>
      <c r="P37" s="89"/>
      <c r="Q37" s="39"/>
      <c r="R37" s="85"/>
      <c r="T37" s="4"/>
      <c r="U37" s="4"/>
      <c r="V37" s="4"/>
      <c r="W37" s="4"/>
      <c r="X37" s="4"/>
      <c r="Y37" s="4"/>
      <c r="Z37" s="4"/>
    </row>
    <row r="38">
      <c r="A38" s="86"/>
      <c r="B38" s="34" t="s">
        <v>37</v>
      </c>
      <c r="C38" s="88"/>
      <c r="E38" s="35"/>
      <c r="F38" s="35"/>
      <c r="G38" s="35"/>
      <c r="H38" s="36"/>
      <c r="I38" s="35"/>
      <c r="J38" s="35"/>
      <c r="K38" s="57"/>
      <c r="L38" s="38"/>
      <c r="M38" s="38"/>
      <c r="N38" s="57"/>
      <c r="O38" s="38"/>
      <c r="P38" s="89"/>
      <c r="Q38" s="39"/>
      <c r="R38" s="85"/>
      <c r="T38" s="4"/>
      <c r="U38" s="4"/>
      <c r="V38" s="4"/>
      <c r="W38" s="4"/>
      <c r="X38" s="4"/>
      <c r="Y38" s="4"/>
      <c r="Z38" s="4"/>
    </row>
    <row r="39">
      <c r="A39" s="40"/>
      <c r="B39" s="34" t="s">
        <v>38</v>
      </c>
      <c r="C39" s="35"/>
      <c r="D39" s="35"/>
      <c r="E39" s="35"/>
      <c r="F39" s="35"/>
      <c r="G39" s="35"/>
      <c r="H39" s="36"/>
      <c r="I39" s="35"/>
      <c r="J39" s="35"/>
      <c r="K39" s="37"/>
      <c r="L39" s="38"/>
      <c r="M39" s="38"/>
      <c r="N39" s="37"/>
      <c r="O39" s="38"/>
      <c r="P39" s="89"/>
      <c r="Q39" s="39"/>
      <c r="R39" s="85"/>
      <c r="T39" s="4"/>
      <c r="U39" s="4"/>
      <c r="V39" s="4"/>
      <c r="W39" s="4"/>
      <c r="X39" s="4"/>
      <c r="Y39" s="4"/>
      <c r="Z39" s="4"/>
    </row>
    <row r="40">
      <c r="A40" s="86"/>
      <c r="B40" s="34" t="s">
        <v>39</v>
      </c>
      <c r="C40" s="88"/>
      <c r="D40" s="35"/>
      <c r="E40" s="35"/>
      <c r="F40" s="35"/>
      <c r="G40" s="35"/>
      <c r="H40" s="36"/>
      <c r="I40" s="35"/>
      <c r="J40" s="35"/>
      <c r="K40" s="57"/>
      <c r="L40" s="38"/>
      <c r="M40" s="38"/>
      <c r="N40" s="57"/>
      <c r="O40" s="38"/>
      <c r="P40" s="89"/>
      <c r="Q40" s="39"/>
      <c r="R40" s="85"/>
      <c r="T40" s="4"/>
      <c r="U40" s="4"/>
      <c r="V40" s="4"/>
      <c r="W40" s="4"/>
      <c r="X40" s="4"/>
      <c r="Y40" s="4"/>
      <c r="Z40" s="4"/>
    </row>
    <row r="41">
      <c r="A41" s="40"/>
      <c r="B41" s="34" t="s">
        <v>34</v>
      </c>
      <c r="C41" s="35"/>
      <c r="D41" s="35"/>
      <c r="E41" s="35"/>
      <c r="F41" s="35"/>
      <c r="G41" s="35"/>
      <c r="H41" s="36"/>
      <c r="I41" s="35"/>
      <c r="J41" s="35"/>
      <c r="K41" s="37"/>
      <c r="L41" s="38"/>
      <c r="M41" s="38"/>
      <c r="N41" s="37"/>
      <c r="O41" s="38"/>
      <c r="P41" s="89"/>
      <c r="Q41" s="39"/>
      <c r="R41" s="85"/>
      <c r="T41" s="4"/>
      <c r="U41" s="4"/>
      <c r="V41" s="4"/>
      <c r="W41" s="4"/>
      <c r="X41" s="4"/>
      <c r="Y41" s="4"/>
      <c r="Z41" s="4"/>
    </row>
    <row r="42">
      <c r="A42" s="86"/>
      <c r="B42" s="34" t="s">
        <v>40</v>
      </c>
      <c r="C42" s="35"/>
      <c r="D42" s="35"/>
      <c r="E42" s="35"/>
      <c r="F42" s="35"/>
      <c r="G42" s="35"/>
      <c r="H42" s="36"/>
      <c r="I42" s="35"/>
      <c r="J42" s="35"/>
      <c r="K42" s="37"/>
      <c r="L42" s="38"/>
      <c r="M42" s="38"/>
      <c r="N42" s="37"/>
      <c r="O42" s="38"/>
      <c r="P42" s="89"/>
      <c r="Q42" s="39"/>
      <c r="T42" s="4"/>
      <c r="U42" s="4"/>
      <c r="V42" s="4"/>
      <c r="W42" s="4"/>
      <c r="X42" s="4"/>
      <c r="Y42" s="4"/>
      <c r="Z42" s="4"/>
    </row>
    <row r="43">
      <c r="A43" s="16" t="s">
        <v>41</v>
      </c>
      <c r="B43" s="82"/>
      <c r="C43" s="82"/>
      <c r="D43" s="82"/>
      <c r="E43" s="82"/>
      <c r="F43" s="82"/>
      <c r="G43" s="82"/>
      <c r="H43" s="41"/>
      <c r="I43" s="42"/>
      <c r="J43" s="90"/>
      <c r="K43" s="41"/>
      <c r="L43" s="42"/>
      <c r="M43" s="45"/>
      <c r="N43" s="41"/>
      <c r="O43" s="42"/>
      <c r="P43" s="48"/>
      <c r="Q43" s="84"/>
      <c r="T43" s="4"/>
      <c r="U43" s="4"/>
      <c r="V43" s="4"/>
      <c r="W43" s="4"/>
      <c r="X43" s="4"/>
      <c r="Y43" s="4"/>
      <c r="Z43" s="4"/>
    </row>
    <row r="44">
      <c r="A44" s="81" t="s">
        <v>12</v>
      </c>
      <c r="B44" s="82"/>
      <c r="C44" s="82"/>
      <c r="D44" s="82"/>
      <c r="E44" s="82"/>
      <c r="F44" s="82"/>
      <c r="G44" s="82"/>
      <c r="H44" s="83"/>
      <c r="I44" s="82"/>
      <c r="J44" s="82"/>
      <c r="K44" s="37"/>
      <c r="L44" s="38"/>
      <c r="M44" s="38"/>
      <c r="N44" s="37"/>
      <c r="O44" s="38"/>
      <c r="P44" s="50"/>
      <c r="Q44" s="84"/>
      <c r="T44" s="4"/>
      <c r="U44" s="4"/>
      <c r="V44" s="4"/>
      <c r="W44" s="4"/>
      <c r="X44" s="4"/>
      <c r="Y44" s="4"/>
      <c r="Z44" s="4"/>
    </row>
    <row r="45">
      <c r="A45" s="81"/>
      <c r="B45" s="33" t="s">
        <v>42</v>
      </c>
      <c r="C45" s="35"/>
      <c r="D45" s="35"/>
      <c r="E45" s="35"/>
      <c r="F45" s="35"/>
      <c r="G45" s="35"/>
      <c r="H45" s="52"/>
      <c r="I45" s="34"/>
      <c r="J45" s="91"/>
      <c r="K45" s="55"/>
      <c r="L45" s="56"/>
      <c r="M45" s="38"/>
      <c r="N45" s="55"/>
      <c r="O45" s="56"/>
      <c r="P45" s="50"/>
      <c r="Q45" s="39"/>
      <c r="T45" s="4"/>
      <c r="U45" s="4"/>
      <c r="V45" s="4"/>
      <c r="W45" s="4"/>
      <c r="X45" s="4"/>
      <c r="Y45" s="4"/>
      <c r="Z45" s="4"/>
    </row>
    <row r="46">
      <c r="A46" s="81"/>
      <c r="B46" s="33" t="s">
        <v>43</v>
      </c>
      <c r="C46" s="35"/>
      <c r="D46" s="35"/>
      <c r="E46" s="35"/>
      <c r="F46" s="35"/>
      <c r="G46" s="35"/>
      <c r="H46" s="52"/>
      <c r="I46" s="34"/>
      <c r="J46" s="91"/>
      <c r="K46" s="55"/>
      <c r="L46" s="56"/>
      <c r="M46" s="38"/>
      <c r="N46" s="55"/>
      <c r="O46" s="56"/>
      <c r="P46" s="50"/>
      <c r="Q46" s="39"/>
      <c r="T46" s="4"/>
      <c r="U46" s="4"/>
      <c r="V46" s="4"/>
      <c r="W46" s="4"/>
      <c r="X46" s="4"/>
      <c r="Y46" s="4"/>
      <c r="Z46" s="4"/>
    </row>
    <row r="47">
      <c r="A47" s="81"/>
      <c r="B47" s="33" t="s">
        <v>44</v>
      </c>
      <c r="C47" s="82"/>
      <c r="D47" s="82"/>
      <c r="E47" s="82"/>
      <c r="F47" s="82"/>
      <c r="G47" s="82"/>
      <c r="H47" s="83"/>
      <c r="I47" s="91"/>
      <c r="J47" s="82"/>
      <c r="K47" s="57"/>
      <c r="L47" s="58"/>
      <c r="M47" s="58"/>
      <c r="N47" s="57"/>
      <c r="O47" s="38"/>
      <c r="P47" s="50"/>
      <c r="Q47" s="84"/>
      <c r="T47" s="4"/>
      <c r="U47" s="4"/>
      <c r="V47" s="4"/>
      <c r="W47" s="4"/>
      <c r="X47" s="4"/>
      <c r="Y47" s="4"/>
      <c r="Z47" s="4"/>
    </row>
    <row r="48">
      <c r="A48" s="86"/>
      <c r="B48" s="33" t="s">
        <v>45</v>
      </c>
      <c r="C48" s="35"/>
      <c r="D48" s="35"/>
      <c r="E48" s="35"/>
      <c r="F48" s="35"/>
      <c r="G48" s="35"/>
      <c r="H48" s="36"/>
      <c r="I48" s="35"/>
      <c r="J48" s="82"/>
      <c r="K48" s="57"/>
      <c r="L48" s="58"/>
      <c r="M48" s="58"/>
      <c r="N48" s="57"/>
      <c r="O48" s="58"/>
      <c r="P48" s="50"/>
      <c r="Q48" s="39"/>
      <c r="T48" s="4"/>
      <c r="U48" s="4"/>
      <c r="V48" s="4"/>
      <c r="W48" s="4"/>
      <c r="X48" s="4"/>
      <c r="Y48" s="4"/>
      <c r="Z48" s="4"/>
    </row>
    <row r="49">
      <c r="A49" s="86"/>
      <c r="B49" s="33" t="s">
        <v>46</v>
      </c>
      <c r="C49" s="35"/>
      <c r="D49" s="35"/>
      <c r="E49" s="35"/>
      <c r="F49" s="35"/>
      <c r="G49" s="35"/>
      <c r="H49" s="36"/>
      <c r="I49" s="35"/>
      <c r="J49" s="82"/>
      <c r="K49" s="57"/>
      <c r="L49" s="57"/>
      <c r="M49" s="58"/>
      <c r="N49" s="37"/>
      <c r="O49" s="38"/>
      <c r="P49" s="50"/>
      <c r="Q49" s="39"/>
      <c r="T49" s="4"/>
      <c r="U49" s="4"/>
      <c r="V49" s="4"/>
      <c r="W49" s="4"/>
      <c r="X49" s="4"/>
      <c r="Y49" s="4"/>
      <c r="Z49" s="4"/>
    </row>
    <row r="50">
      <c r="A50" s="86"/>
      <c r="B50" s="33" t="s">
        <v>47</v>
      </c>
      <c r="C50" s="35"/>
      <c r="D50" s="35"/>
      <c r="E50" s="35"/>
      <c r="F50" s="35"/>
      <c r="G50" s="35"/>
      <c r="H50" s="36"/>
      <c r="I50" s="35"/>
      <c r="J50" s="35"/>
      <c r="K50" s="57"/>
      <c r="L50" s="58"/>
      <c r="M50" s="58"/>
      <c r="N50" s="37"/>
      <c r="O50" s="38"/>
      <c r="P50" s="50"/>
      <c r="Q50" s="39"/>
      <c r="T50" s="4"/>
      <c r="U50" s="4"/>
      <c r="V50" s="4"/>
      <c r="W50" s="4"/>
      <c r="X50" s="4"/>
      <c r="Y50" s="4"/>
      <c r="Z50" s="4"/>
    </row>
    <row r="51">
      <c r="A51" s="81"/>
      <c r="B51" s="92" t="s">
        <v>48</v>
      </c>
      <c r="C51" s="35"/>
      <c r="D51" s="35"/>
      <c r="E51" s="35"/>
      <c r="F51" s="35"/>
      <c r="G51" s="35"/>
      <c r="H51" s="52"/>
      <c r="I51" s="35"/>
      <c r="J51" s="35"/>
      <c r="K51" s="57"/>
      <c r="L51" s="58"/>
      <c r="M51" s="58"/>
      <c r="N51" s="55"/>
      <c r="O51" s="56"/>
      <c r="P51" s="50"/>
      <c r="Q51" s="39"/>
      <c r="T51" s="4"/>
      <c r="U51" s="4"/>
      <c r="V51" s="4"/>
      <c r="W51" s="4"/>
      <c r="X51" s="4"/>
      <c r="Y51" s="4"/>
      <c r="Z51" s="4"/>
    </row>
    <row r="52">
      <c r="A52" s="81"/>
      <c r="B52" s="33" t="s">
        <v>49</v>
      </c>
      <c r="C52" s="82"/>
      <c r="D52" s="82"/>
      <c r="E52" s="82"/>
      <c r="F52" s="82"/>
      <c r="G52" s="82"/>
      <c r="H52" s="83"/>
      <c r="I52" s="82"/>
      <c r="J52" s="82"/>
      <c r="K52" s="57"/>
      <c r="L52" s="58"/>
      <c r="M52" s="58"/>
      <c r="N52" s="37"/>
      <c r="O52" s="38"/>
      <c r="P52" s="50"/>
      <c r="Q52" s="84"/>
      <c r="T52" s="4"/>
      <c r="U52" s="4"/>
      <c r="V52" s="4"/>
      <c r="W52" s="4"/>
      <c r="X52" s="4"/>
      <c r="Y52" s="4"/>
      <c r="Z52" s="4"/>
    </row>
    <row r="53">
      <c r="A53" s="81"/>
      <c r="B53" s="92" t="s">
        <v>50</v>
      </c>
      <c r="C53" s="35"/>
      <c r="D53" s="35"/>
      <c r="E53" s="35"/>
      <c r="F53" s="35"/>
      <c r="G53" s="35"/>
      <c r="H53" s="52"/>
      <c r="I53" s="35"/>
      <c r="J53" s="35"/>
      <c r="K53" s="53"/>
      <c r="L53" s="54"/>
      <c r="M53" s="58"/>
      <c r="N53" s="55"/>
      <c r="O53" s="56"/>
      <c r="P53" s="50"/>
      <c r="Q53" s="39"/>
      <c r="T53" s="4"/>
      <c r="U53" s="4"/>
      <c r="V53" s="4"/>
      <c r="W53" s="4"/>
      <c r="X53" s="4"/>
      <c r="Y53" s="4"/>
      <c r="Z53" s="4"/>
    </row>
    <row r="54">
      <c r="A54" s="81"/>
      <c r="B54" s="92" t="s">
        <v>51</v>
      </c>
      <c r="C54" s="35"/>
      <c r="D54" s="35"/>
      <c r="E54" s="35"/>
      <c r="F54" s="35"/>
      <c r="G54" s="35"/>
      <c r="H54" s="52"/>
      <c r="I54" s="35"/>
      <c r="J54" s="35"/>
      <c r="K54" s="53"/>
      <c r="L54" s="54"/>
      <c r="M54" s="58"/>
      <c r="N54" s="55"/>
      <c r="O54" s="56"/>
      <c r="P54" s="50"/>
      <c r="Q54" s="39"/>
      <c r="T54" s="4"/>
      <c r="U54" s="4"/>
      <c r="V54" s="4"/>
      <c r="W54" s="4"/>
      <c r="X54" s="4"/>
      <c r="Y54" s="4"/>
      <c r="Z54" s="4"/>
    </row>
    <row r="55">
      <c r="A55" s="81"/>
      <c r="B55" s="33" t="s">
        <v>52</v>
      </c>
      <c r="C55" s="82"/>
      <c r="D55" s="82"/>
      <c r="E55" s="82"/>
      <c r="F55" s="82"/>
      <c r="G55" s="82"/>
      <c r="H55" s="83"/>
      <c r="I55" s="82"/>
      <c r="J55" s="82"/>
      <c r="K55" s="57"/>
      <c r="L55" s="58"/>
      <c r="M55" s="38"/>
      <c r="N55" s="57"/>
      <c r="O55" s="58"/>
      <c r="P55" s="50"/>
      <c r="Q55" s="84"/>
      <c r="T55" s="4"/>
      <c r="U55" s="4"/>
      <c r="V55" s="4"/>
      <c r="W55" s="4"/>
      <c r="X55" s="4"/>
      <c r="Y55" s="4"/>
      <c r="Z55" s="4"/>
    </row>
    <row r="56">
      <c r="A56" s="81"/>
      <c r="B56" s="92" t="s">
        <v>53</v>
      </c>
      <c r="C56" s="35"/>
      <c r="D56" s="35"/>
      <c r="E56" s="35"/>
      <c r="F56" s="35"/>
      <c r="G56" s="35"/>
      <c r="H56" s="36"/>
      <c r="I56" s="35"/>
      <c r="J56" s="35"/>
      <c r="K56" s="55"/>
      <c r="L56" s="56"/>
      <c r="M56" s="38"/>
      <c r="N56" s="53"/>
      <c r="O56" s="54"/>
      <c r="P56" s="50"/>
      <c r="Q56" s="39"/>
      <c r="T56" s="4"/>
      <c r="U56" s="4"/>
      <c r="V56" s="4"/>
      <c r="W56" s="4"/>
      <c r="X56" s="4"/>
      <c r="Y56" s="4"/>
      <c r="Z56" s="4"/>
    </row>
    <row r="57">
      <c r="A57" s="81"/>
      <c r="B57" s="33" t="s">
        <v>54</v>
      </c>
      <c r="C57" s="82"/>
      <c r="D57" s="82"/>
      <c r="E57" s="82"/>
      <c r="F57" s="82"/>
      <c r="G57" s="82"/>
      <c r="H57" s="83"/>
      <c r="I57" s="82"/>
      <c r="J57" s="82"/>
      <c r="K57" s="57"/>
      <c r="L57" s="58"/>
      <c r="M57" s="38"/>
      <c r="N57" s="37"/>
      <c r="O57" s="38"/>
      <c r="P57" s="50"/>
      <c r="Q57" s="84"/>
      <c r="T57" s="4"/>
      <c r="U57" s="4"/>
      <c r="V57" s="4"/>
      <c r="W57" s="4"/>
      <c r="X57" s="4"/>
      <c r="Y57" s="4"/>
      <c r="Z57" s="4"/>
    </row>
    <row r="58">
      <c r="A58" s="16" t="s">
        <v>55</v>
      </c>
      <c r="B58" s="93"/>
      <c r="C58" s="35"/>
      <c r="D58" s="35"/>
      <c r="E58" s="35"/>
      <c r="F58" s="35"/>
      <c r="G58" s="35"/>
      <c r="H58" s="41">
        <f t="shared" ref="H58:I58" si="18">sum(H45:H57)</f>
        <v>0</v>
      </c>
      <c r="I58" s="42">
        <f t="shared" si="18"/>
        <v>0</v>
      </c>
      <c r="J58" s="90">
        <f>H58-I58</f>
        <v>0</v>
      </c>
      <c r="K58" s="41">
        <f t="shared" ref="K58:L58" si="19">sum(K45:K57)</f>
        <v>0</v>
      </c>
      <c r="L58" s="42">
        <f t="shared" si="19"/>
        <v>0</v>
      </c>
      <c r="M58" s="90">
        <f>K58-L58</f>
        <v>0</v>
      </c>
      <c r="N58" s="41">
        <f t="shared" ref="N58:O58" si="20">sum(N45:N57)</f>
        <v>0</v>
      </c>
      <c r="O58" s="42">
        <f t="shared" si="20"/>
        <v>0</v>
      </c>
      <c r="P58" s="48">
        <f>N58-O58</f>
        <v>0</v>
      </c>
      <c r="Q58" s="39"/>
      <c r="T58" s="4"/>
      <c r="U58" s="4"/>
      <c r="V58" s="4"/>
      <c r="W58" s="4"/>
      <c r="X58" s="4"/>
      <c r="Y58" s="4"/>
      <c r="Z58" s="4"/>
    </row>
    <row r="59">
      <c r="A59" s="32"/>
      <c r="B59" s="35"/>
      <c r="C59" s="35"/>
      <c r="D59" s="35"/>
      <c r="E59" s="35"/>
      <c r="F59" s="35"/>
      <c r="G59" s="35"/>
      <c r="H59" s="36"/>
      <c r="I59" s="35"/>
      <c r="J59" s="82"/>
      <c r="K59" s="37"/>
      <c r="L59" s="38"/>
      <c r="M59" s="38"/>
      <c r="N59" s="37"/>
      <c r="O59" s="38"/>
      <c r="P59" s="50"/>
      <c r="Q59" s="39"/>
      <c r="T59" s="4"/>
      <c r="U59" s="4"/>
      <c r="V59" s="4"/>
      <c r="W59" s="4"/>
      <c r="X59" s="4"/>
      <c r="Y59" s="4"/>
      <c r="Z59" s="4"/>
    </row>
    <row r="60">
      <c r="A60" s="61" t="s">
        <v>56</v>
      </c>
      <c r="B60" s="94"/>
      <c r="C60" s="94"/>
      <c r="D60" s="94"/>
      <c r="E60" s="94"/>
      <c r="F60" s="94"/>
      <c r="G60" s="94"/>
      <c r="H60" s="95">
        <f t="shared" ref="H60:I60" si="21">sum(H43,H58)</f>
        <v>0</v>
      </c>
      <c r="I60" s="94">
        <f t="shared" si="21"/>
        <v>0</v>
      </c>
      <c r="J60" s="94">
        <f>H60-I60</f>
        <v>0</v>
      </c>
      <c r="K60" s="64">
        <f t="shared" ref="K60:L60" si="22">sum(K43,K58)</f>
        <v>0</v>
      </c>
      <c r="L60" s="65">
        <f t="shared" si="22"/>
        <v>0</v>
      </c>
      <c r="M60" s="96">
        <f>K60-L60</f>
        <v>0</v>
      </c>
      <c r="N60" s="64">
        <f t="shared" ref="N60:O60" si="23">sum(N43,N58)</f>
        <v>0</v>
      </c>
      <c r="O60" s="65">
        <f t="shared" si="23"/>
        <v>0</v>
      </c>
      <c r="P60" s="97">
        <f>N60-O60</f>
        <v>0</v>
      </c>
      <c r="Q60" s="98"/>
      <c r="R60" s="4"/>
      <c r="S60" s="4"/>
      <c r="T60" s="4"/>
      <c r="U60" s="4"/>
      <c r="V60" s="4"/>
      <c r="W60" s="4"/>
      <c r="X60" s="4"/>
      <c r="Y60" s="4"/>
      <c r="Z60" s="4"/>
    </row>
    <row r="61">
      <c r="A61" s="99"/>
      <c r="B61" s="69"/>
      <c r="C61" s="69"/>
      <c r="D61" s="69"/>
      <c r="E61" s="69"/>
      <c r="F61" s="69"/>
      <c r="G61" s="69"/>
      <c r="H61" s="70"/>
      <c r="I61" s="69"/>
      <c r="J61" s="69"/>
      <c r="K61" s="71"/>
      <c r="L61" s="72"/>
      <c r="M61" s="72"/>
      <c r="N61" s="71"/>
      <c r="O61" s="72"/>
      <c r="P61" s="73"/>
      <c r="Q61" s="100"/>
      <c r="R61" s="4"/>
      <c r="S61" s="4"/>
      <c r="T61" s="4"/>
      <c r="U61" s="4"/>
      <c r="V61" s="4"/>
      <c r="W61" s="4"/>
      <c r="X61" s="4"/>
      <c r="Y61" s="4"/>
      <c r="Z61" s="4"/>
    </row>
    <row r="62">
      <c r="A62" s="101" t="s">
        <v>57</v>
      </c>
      <c r="B62" s="102"/>
      <c r="C62" s="102"/>
      <c r="D62" s="102"/>
      <c r="E62" s="102"/>
      <c r="F62" s="102"/>
      <c r="G62" s="102"/>
      <c r="H62" s="103"/>
      <c r="I62" s="104"/>
      <c r="J62" s="104"/>
      <c r="K62" s="105"/>
      <c r="L62" s="106"/>
      <c r="M62" s="107"/>
      <c r="N62" s="105"/>
      <c r="O62" s="106"/>
      <c r="P62" s="108"/>
      <c r="Q62" s="8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>
      <c r="A66" s="109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</sheetData>
  <mergeCells count="5">
    <mergeCell ref="A4:P4"/>
    <mergeCell ref="A5:G5"/>
    <mergeCell ref="H5:J5"/>
    <mergeCell ref="K5:M5"/>
    <mergeCell ref="N5:P5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45901.0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59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7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25"/>
      <c r="G6" s="25"/>
      <c r="H6" s="25"/>
      <c r="I6" s="25"/>
      <c r="J6" s="116"/>
    </row>
    <row r="7">
      <c r="A7" s="32"/>
      <c r="B7" s="33" t="s">
        <v>63</v>
      </c>
      <c r="C7" s="34"/>
      <c r="D7" s="35"/>
      <c r="E7" s="35"/>
      <c r="F7" s="35"/>
      <c r="G7" s="35"/>
      <c r="H7" s="34">
        <v>0.0</v>
      </c>
      <c r="I7" s="34">
        <v>0.0</v>
      </c>
      <c r="J7" s="117"/>
    </row>
    <row r="8">
      <c r="A8" s="40"/>
      <c r="B8" s="34" t="s">
        <v>64</v>
      </c>
      <c r="C8" s="35"/>
      <c r="D8" s="35"/>
      <c r="E8" s="35"/>
      <c r="F8" s="35"/>
      <c r="G8" s="35"/>
      <c r="H8" s="34">
        <v>0.0</v>
      </c>
      <c r="I8" s="34">
        <v>0.0</v>
      </c>
      <c r="J8" s="117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7"/>
    </row>
    <row r="10">
      <c r="A10" s="118" t="s">
        <v>22</v>
      </c>
      <c r="B10" s="119"/>
      <c r="C10" s="119"/>
      <c r="D10" s="119"/>
      <c r="E10" s="119"/>
      <c r="F10" s="119"/>
      <c r="G10" s="119"/>
      <c r="H10" s="120">
        <f t="shared" ref="H10:I10" si="1">sum(H7:H9)</f>
        <v>0</v>
      </c>
      <c r="I10" s="120">
        <f t="shared" si="1"/>
        <v>0</v>
      </c>
      <c r="J10" s="121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7"/>
    </row>
    <row r="12">
      <c r="A12" s="16" t="s">
        <v>32</v>
      </c>
      <c r="B12" s="69"/>
      <c r="C12" s="69"/>
      <c r="D12" s="69"/>
      <c r="E12" s="69"/>
      <c r="F12" s="17" t="s">
        <v>60</v>
      </c>
      <c r="G12" s="17" t="s">
        <v>61</v>
      </c>
      <c r="H12" s="17" t="s">
        <v>7</v>
      </c>
      <c r="I12" s="17" t="s">
        <v>8</v>
      </c>
      <c r="J12" s="115" t="s">
        <v>9</v>
      </c>
    </row>
    <row r="13">
      <c r="A13" s="81" t="s">
        <v>65</v>
      </c>
      <c r="B13" s="82"/>
      <c r="C13" s="82"/>
      <c r="D13" s="82"/>
      <c r="E13" s="82"/>
      <c r="F13" s="82"/>
      <c r="G13" s="82"/>
      <c r="H13" s="82"/>
      <c r="I13" s="82"/>
      <c r="J13" s="122"/>
      <c r="K13" s="123"/>
      <c r="L13" s="123"/>
    </row>
    <row r="14">
      <c r="A14" s="86"/>
      <c r="B14" s="92" t="s">
        <v>66</v>
      </c>
      <c r="C14" s="35"/>
      <c r="D14" s="35"/>
      <c r="E14" s="35"/>
      <c r="F14" s="35"/>
      <c r="G14" s="35"/>
      <c r="H14" s="34">
        <v>500.0</v>
      </c>
      <c r="I14" s="34"/>
      <c r="J14" s="117"/>
      <c r="K14" s="123"/>
      <c r="L14" s="123"/>
    </row>
    <row r="15">
      <c r="A15" s="16"/>
      <c r="B15" s="92" t="s">
        <v>67</v>
      </c>
      <c r="C15" s="82"/>
      <c r="D15" s="82"/>
      <c r="E15" s="82"/>
      <c r="F15" s="82"/>
      <c r="G15" s="82"/>
      <c r="H15" s="34">
        <v>200.0</v>
      </c>
      <c r="I15" s="34"/>
      <c r="J15" s="122"/>
      <c r="K15" s="124"/>
      <c r="L15" s="125"/>
    </row>
    <row r="16">
      <c r="A16" s="16"/>
      <c r="B16" s="91" t="s">
        <v>68</v>
      </c>
      <c r="C16" s="82"/>
      <c r="D16" s="82"/>
      <c r="E16" s="82"/>
      <c r="F16" s="82"/>
      <c r="G16" s="82"/>
      <c r="H16" s="34">
        <v>300.0</v>
      </c>
      <c r="I16" s="34"/>
      <c r="J16" s="122"/>
      <c r="K16" s="123"/>
      <c r="L16" s="123"/>
    </row>
    <row r="17">
      <c r="A17" s="16" t="s">
        <v>69</v>
      </c>
      <c r="B17" s="82"/>
      <c r="C17" s="82"/>
      <c r="D17" s="82"/>
      <c r="E17" s="82"/>
      <c r="F17" s="82"/>
      <c r="G17" s="82"/>
      <c r="H17" s="42">
        <f>sum(H14:H16)</f>
        <v>1000</v>
      </c>
      <c r="I17" s="126">
        <f>SUM(I14:I16)</f>
        <v>0</v>
      </c>
      <c r="J17" s="127">
        <f>I17-H17</f>
        <v>-1000</v>
      </c>
      <c r="K17" s="123"/>
      <c r="L17" s="123"/>
    </row>
    <row r="18">
      <c r="A18" s="16"/>
      <c r="B18" s="128"/>
      <c r="C18" s="35"/>
      <c r="D18" s="35"/>
      <c r="E18" s="35"/>
      <c r="F18" s="35"/>
      <c r="G18" s="35"/>
      <c r="I18" s="129"/>
      <c r="J18" s="117"/>
      <c r="K18" s="123"/>
      <c r="L18" s="123"/>
    </row>
    <row r="19">
      <c r="A19" s="61" t="s">
        <v>70</v>
      </c>
      <c r="B19" s="94"/>
      <c r="C19" s="94"/>
      <c r="D19" s="94"/>
      <c r="E19" s="94"/>
      <c r="F19" s="94"/>
      <c r="G19" s="94"/>
      <c r="H19" s="94">
        <f>H17</f>
        <v>1000</v>
      </c>
      <c r="I19" s="94">
        <f>I17/2</f>
        <v>0</v>
      </c>
      <c r="J19" s="130">
        <f>I19-H19</f>
        <v>-1000</v>
      </c>
    </row>
    <row r="20">
      <c r="A20" s="99"/>
      <c r="B20" s="69"/>
      <c r="C20" s="69"/>
      <c r="D20" s="69"/>
      <c r="E20" s="69"/>
      <c r="F20" s="69"/>
      <c r="G20" s="69"/>
      <c r="H20" s="69"/>
      <c r="I20" s="69"/>
      <c r="J20" s="131"/>
    </row>
    <row r="21">
      <c r="A21" s="101" t="s">
        <v>71</v>
      </c>
      <c r="B21" s="102"/>
      <c r="C21" s="102"/>
      <c r="D21" s="102"/>
      <c r="E21" s="102"/>
      <c r="F21" s="102"/>
      <c r="G21" s="102"/>
      <c r="H21" s="102">
        <f t="shared" ref="H21:I21" si="2">H10-H19</f>
        <v>-1000</v>
      </c>
      <c r="I21" s="102">
        <f t="shared" si="2"/>
        <v>0</v>
      </c>
      <c r="J21" s="132">
        <f>I21-H21</f>
        <v>1000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45901.0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73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7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25"/>
      <c r="G6" s="25"/>
      <c r="H6" s="25"/>
      <c r="I6" s="25"/>
      <c r="J6" s="116"/>
    </row>
    <row r="7">
      <c r="A7" s="32"/>
      <c r="B7" s="33" t="s">
        <v>63</v>
      </c>
      <c r="C7" s="34"/>
      <c r="D7" s="35"/>
      <c r="E7" s="35"/>
      <c r="F7" s="35"/>
      <c r="G7" s="35"/>
      <c r="H7" s="35"/>
      <c r="I7" s="35"/>
      <c r="J7" s="117"/>
    </row>
    <row r="8">
      <c r="A8" s="40"/>
      <c r="B8" s="34" t="s">
        <v>64</v>
      </c>
      <c r="C8" s="35"/>
      <c r="D8" s="35"/>
      <c r="E8" s="35"/>
      <c r="F8" s="35"/>
      <c r="G8" s="35"/>
      <c r="H8" s="35"/>
      <c r="I8" s="35"/>
      <c r="J8" s="117"/>
    </row>
    <row r="9">
      <c r="A9" s="32"/>
      <c r="B9" s="34" t="s">
        <v>12</v>
      </c>
      <c r="C9" s="35"/>
      <c r="D9" s="35"/>
      <c r="E9" s="35"/>
      <c r="F9" s="35"/>
      <c r="G9" s="35"/>
      <c r="H9" s="35"/>
      <c r="I9" s="35"/>
      <c r="J9" s="117"/>
    </row>
    <row r="10">
      <c r="A10" s="118" t="s">
        <v>22</v>
      </c>
      <c r="B10" s="119"/>
      <c r="C10" s="119"/>
      <c r="D10" s="119"/>
      <c r="E10" s="119"/>
      <c r="F10" s="119"/>
      <c r="G10" s="119"/>
      <c r="H10" s="120">
        <f t="shared" ref="H10:I10" si="1">sum(H7:H9)</f>
        <v>0</v>
      </c>
      <c r="I10" s="120">
        <f t="shared" si="1"/>
        <v>0</v>
      </c>
      <c r="J10" s="121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7"/>
    </row>
    <row r="12">
      <c r="A12" s="16" t="s">
        <v>32</v>
      </c>
      <c r="B12" s="69"/>
      <c r="C12" s="69"/>
      <c r="D12" s="69"/>
      <c r="E12" s="69"/>
      <c r="F12" s="17" t="s">
        <v>60</v>
      </c>
      <c r="G12" s="17" t="s">
        <v>61</v>
      </c>
      <c r="H12" s="17" t="s">
        <v>7</v>
      </c>
      <c r="I12" s="17" t="s">
        <v>8</v>
      </c>
      <c r="J12" s="115" t="s">
        <v>9</v>
      </c>
    </row>
    <row r="13">
      <c r="A13" s="81" t="s">
        <v>65</v>
      </c>
      <c r="B13" s="82"/>
      <c r="C13" s="82"/>
      <c r="D13" s="82"/>
      <c r="E13" s="82"/>
      <c r="F13" s="82"/>
      <c r="G13" s="82"/>
      <c r="H13" s="82"/>
      <c r="I13" s="82"/>
      <c r="J13" s="122"/>
    </row>
    <row r="14">
      <c r="A14" s="86"/>
      <c r="B14" s="92" t="s">
        <v>74</v>
      </c>
      <c r="C14" s="35"/>
      <c r="D14" s="35"/>
      <c r="E14" s="35"/>
      <c r="F14" s="35"/>
      <c r="G14" s="35"/>
      <c r="H14" s="34">
        <v>1000.0</v>
      </c>
      <c r="I14" s="34"/>
      <c r="J14" s="117"/>
    </row>
    <row r="15">
      <c r="A15" s="86"/>
      <c r="B15" s="92"/>
      <c r="C15" s="35"/>
      <c r="D15" s="35"/>
      <c r="E15" s="35"/>
      <c r="F15" s="35"/>
      <c r="G15" s="35"/>
      <c r="H15" s="34"/>
      <c r="I15" s="34"/>
      <c r="J15" s="117"/>
    </row>
    <row r="16">
      <c r="A16" s="16" t="s">
        <v>69</v>
      </c>
      <c r="B16" s="82"/>
      <c r="C16" s="82"/>
      <c r="D16" s="82"/>
      <c r="E16" s="82"/>
      <c r="F16" s="82"/>
      <c r="G16" s="82"/>
      <c r="H16" s="42">
        <f t="shared" ref="H16:I16" si="2">sum(H14:H15)</f>
        <v>1000</v>
      </c>
      <c r="I16" s="42">
        <f t="shared" si="2"/>
        <v>0</v>
      </c>
      <c r="J16" s="127">
        <f>I16-H16</f>
        <v>-1000</v>
      </c>
    </row>
    <row r="17">
      <c r="A17" s="81"/>
      <c r="B17" s="128"/>
      <c r="C17" s="35"/>
      <c r="D17" s="35"/>
      <c r="E17" s="35"/>
      <c r="F17" s="35"/>
      <c r="G17" s="35"/>
      <c r="H17" s="128"/>
      <c r="I17" s="128"/>
      <c r="J17" s="117"/>
    </row>
    <row r="18">
      <c r="A18" s="61" t="s">
        <v>75</v>
      </c>
      <c r="B18" s="94"/>
      <c r="C18" s="94"/>
      <c r="D18" s="94"/>
      <c r="E18" s="94"/>
      <c r="F18" s="94"/>
      <c r="G18" s="94"/>
      <c r="H18" s="94">
        <f>H16</f>
        <v>1000</v>
      </c>
      <c r="I18" s="94">
        <f>I16/2</f>
        <v>0</v>
      </c>
      <c r="J18" s="130">
        <f>I18-H18</f>
        <v>-1000</v>
      </c>
    </row>
    <row r="19">
      <c r="A19" s="99"/>
      <c r="B19" s="69"/>
      <c r="C19" s="69"/>
      <c r="D19" s="69"/>
      <c r="E19" s="69"/>
      <c r="F19" s="69"/>
      <c r="G19" s="69"/>
      <c r="H19" s="69"/>
      <c r="I19" s="69"/>
      <c r="J19" s="131"/>
    </row>
    <row r="20">
      <c r="A20" s="101" t="s">
        <v>71</v>
      </c>
      <c r="B20" s="102"/>
      <c r="C20" s="102"/>
      <c r="D20" s="102"/>
      <c r="E20" s="102"/>
      <c r="F20" s="102"/>
      <c r="G20" s="102"/>
      <c r="H20" s="102">
        <f t="shared" ref="H20:I20" si="3">H10-H18</f>
        <v>-1000</v>
      </c>
      <c r="I20" s="102">
        <f t="shared" si="3"/>
        <v>0</v>
      </c>
      <c r="J20" s="132">
        <f>I20-H20</f>
        <v>1000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45931.0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77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7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25"/>
      <c r="G6" s="25"/>
      <c r="H6" s="25"/>
      <c r="I6" s="25"/>
      <c r="J6" s="116"/>
    </row>
    <row r="7">
      <c r="A7" s="32"/>
      <c r="B7" s="33" t="s">
        <v>63</v>
      </c>
      <c r="C7" s="34"/>
      <c r="D7" s="35"/>
      <c r="E7" s="35"/>
      <c r="F7" s="35"/>
      <c r="G7" s="35"/>
      <c r="H7" s="35"/>
      <c r="I7" s="35"/>
      <c r="J7" s="117"/>
    </row>
    <row r="8">
      <c r="A8" s="40"/>
      <c r="B8" s="34" t="s">
        <v>64</v>
      </c>
      <c r="C8" s="35"/>
      <c r="D8" s="35"/>
      <c r="E8" s="35"/>
      <c r="F8" s="35"/>
      <c r="G8" s="35"/>
      <c r="H8" s="35"/>
      <c r="I8" s="35"/>
      <c r="J8" s="117"/>
    </row>
    <row r="9">
      <c r="A9" s="32"/>
      <c r="B9" s="34" t="s">
        <v>12</v>
      </c>
      <c r="C9" s="35"/>
      <c r="D9" s="35"/>
      <c r="E9" s="35"/>
      <c r="F9" s="35"/>
      <c r="G9" s="35"/>
      <c r="H9" s="35"/>
      <c r="I9" s="35"/>
      <c r="J9" s="117"/>
    </row>
    <row r="10">
      <c r="A10" s="118" t="s">
        <v>22</v>
      </c>
      <c r="B10" s="119"/>
      <c r="C10" s="119"/>
      <c r="D10" s="119"/>
      <c r="E10" s="119"/>
      <c r="F10" s="119"/>
      <c r="G10" s="119"/>
      <c r="H10" s="120">
        <f t="shared" ref="H10:I10" si="1">sum(H7:H9)</f>
        <v>0</v>
      </c>
      <c r="I10" s="120">
        <f t="shared" si="1"/>
        <v>0</v>
      </c>
      <c r="J10" s="121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7"/>
    </row>
    <row r="12">
      <c r="A12" s="16" t="s">
        <v>32</v>
      </c>
      <c r="B12" s="69"/>
      <c r="C12" s="69"/>
      <c r="D12" s="69"/>
      <c r="E12" s="69"/>
      <c r="F12" s="17" t="s">
        <v>60</v>
      </c>
      <c r="G12" s="17" t="s">
        <v>61</v>
      </c>
      <c r="H12" s="17" t="s">
        <v>7</v>
      </c>
      <c r="I12" s="17" t="s">
        <v>8</v>
      </c>
      <c r="J12" s="115" t="s">
        <v>9</v>
      </c>
    </row>
    <row r="13">
      <c r="A13" s="81" t="s">
        <v>65</v>
      </c>
      <c r="B13" s="82"/>
      <c r="C13" s="82"/>
      <c r="D13" s="82"/>
      <c r="E13" s="82"/>
      <c r="F13" s="82"/>
      <c r="G13" s="82"/>
      <c r="H13" s="82"/>
      <c r="I13" s="82"/>
      <c r="J13" s="122"/>
    </row>
    <row r="14">
      <c r="A14" s="86"/>
      <c r="B14" s="92" t="s">
        <v>74</v>
      </c>
      <c r="C14" s="35"/>
      <c r="D14" s="35"/>
      <c r="E14" s="35"/>
      <c r="F14" s="35"/>
      <c r="G14" s="35"/>
      <c r="H14" s="34">
        <v>1000.0</v>
      </c>
      <c r="I14" s="34"/>
      <c r="J14" s="117"/>
    </row>
    <row r="15">
      <c r="A15" s="86"/>
      <c r="B15" s="92"/>
      <c r="C15" s="35"/>
      <c r="D15" s="35"/>
      <c r="E15" s="35"/>
      <c r="F15" s="35"/>
      <c r="G15" s="35"/>
      <c r="H15" s="34"/>
      <c r="I15" s="34"/>
      <c r="J15" s="117"/>
    </row>
    <row r="16">
      <c r="A16" s="16" t="s">
        <v>69</v>
      </c>
      <c r="B16" s="82"/>
      <c r="C16" s="82"/>
      <c r="D16" s="82"/>
      <c r="E16" s="82"/>
      <c r="F16" s="82"/>
      <c r="G16" s="82"/>
      <c r="H16" s="42">
        <f t="shared" ref="H16:I16" si="2">sum(H14:H15)</f>
        <v>1000</v>
      </c>
      <c r="I16" s="42">
        <f t="shared" si="2"/>
        <v>0</v>
      </c>
      <c r="J16" s="127">
        <f>I16-H16</f>
        <v>-1000</v>
      </c>
    </row>
    <row r="17">
      <c r="A17" s="81"/>
      <c r="B17" s="128"/>
      <c r="C17" s="35"/>
      <c r="D17" s="35"/>
      <c r="E17" s="35"/>
      <c r="F17" s="35"/>
      <c r="G17" s="35"/>
      <c r="H17" s="128"/>
      <c r="I17" s="128"/>
      <c r="J17" s="117"/>
    </row>
    <row r="18">
      <c r="A18" s="61" t="s">
        <v>75</v>
      </c>
      <c r="B18" s="94"/>
      <c r="C18" s="94"/>
      <c r="D18" s="94"/>
      <c r="E18" s="94"/>
      <c r="F18" s="94"/>
      <c r="G18" s="94"/>
      <c r="H18" s="94">
        <f>H16</f>
        <v>1000</v>
      </c>
      <c r="I18" s="94">
        <f>I16/2</f>
        <v>0</v>
      </c>
      <c r="J18" s="130">
        <f>I18-H18</f>
        <v>-1000</v>
      </c>
    </row>
    <row r="19">
      <c r="A19" s="99"/>
      <c r="B19" s="69"/>
      <c r="C19" s="69"/>
      <c r="D19" s="69"/>
      <c r="E19" s="69"/>
      <c r="F19" s="69"/>
      <c r="G19" s="69"/>
      <c r="H19" s="69"/>
      <c r="I19" s="69"/>
      <c r="J19" s="131"/>
    </row>
    <row r="20">
      <c r="A20" s="101" t="s">
        <v>71</v>
      </c>
      <c r="B20" s="102"/>
      <c r="C20" s="102"/>
      <c r="D20" s="102"/>
      <c r="E20" s="102"/>
      <c r="F20" s="102"/>
      <c r="G20" s="102"/>
      <c r="H20" s="102">
        <f t="shared" ref="H20:I20" si="3">H10-H18</f>
        <v>-1000</v>
      </c>
      <c r="I20" s="102">
        <f t="shared" si="3"/>
        <v>0</v>
      </c>
      <c r="J20" s="132">
        <f>I20-H20</f>
        <v>1000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45931.0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79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7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25"/>
      <c r="G6" s="25"/>
      <c r="H6" s="25"/>
      <c r="I6" s="25"/>
      <c r="J6" s="116"/>
    </row>
    <row r="7">
      <c r="A7" s="32"/>
      <c r="B7" s="33" t="s">
        <v>63</v>
      </c>
      <c r="C7" s="34"/>
      <c r="D7" s="35"/>
      <c r="E7" s="35"/>
      <c r="F7" s="35"/>
      <c r="G7" s="35"/>
      <c r="H7" s="34">
        <v>0.0</v>
      </c>
      <c r="I7" s="34">
        <v>0.0</v>
      </c>
      <c r="J7" s="117"/>
    </row>
    <row r="8">
      <c r="A8" s="40"/>
      <c r="B8" s="34" t="s">
        <v>64</v>
      </c>
      <c r="C8" s="35"/>
      <c r="D8" s="35"/>
      <c r="E8" s="35"/>
      <c r="F8" s="35"/>
      <c r="G8" s="35"/>
      <c r="H8" s="34">
        <v>0.0</v>
      </c>
      <c r="I8" s="34">
        <v>0.0</v>
      </c>
      <c r="J8" s="117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7"/>
    </row>
    <row r="10">
      <c r="A10" s="118" t="s">
        <v>22</v>
      </c>
      <c r="B10" s="119"/>
      <c r="C10" s="119"/>
      <c r="D10" s="119"/>
      <c r="E10" s="119"/>
      <c r="F10" s="119"/>
      <c r="G10" s="119"/>
      <c r="H10" s="120">
        <f t="shared" ref="H10:I10" si="1">sum(H7:H9)</f>
        <v>0</v>
      </c>
      <c r="I10" s="120">
        <f t="shared" si="1"/>
        <v>0</v>
      </c>
      <c r="J10" s="121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7"/>
    </row>
    <row r="12">
      <c r="A12" s="16" t="s">
        <v>32</v>
      </c>
      <c r="B12" s="69"/>
      <c r="C12" s="69"/>
      <c r="D12" s="69"/>
      <c r="E12" s="69"/>
      <c r="F12" s="17" t="s">
        <v>60</v>
      </c>
      <c r="G12" s="17" t="s">
        <v>61</v>
      </c>
      <c r="H12" s="17" t="s">
        <v>7</v>
      </c>
      <c r="I12" s="17" t="s">
        <v>8</v>
      </c>
      <c r="J12" s="115" t="s">
        <v>9</v>
      </c>
    </row>
    <row r="13">
      <c r="A13" s="81" t="s">
        <v>65</v>
      </c>
      <c r="B13" s="82"/>
      <c r="C13" s="82"/>
      <c r="D13" s="82"/>
      <c r="E13" s="82"/>
      <c r="F13" s="82"/>
      <c r="G13" s="82"/>
      <c r="H13" s="82"/>
      <c r="I13" s="82"/>
      <c r="J13" s="122"/>
      <c r="K13" s="123"/>
      <c r="L13" s="123"/>
    </row>
    <row r="14">
      <c r="A14" s="86"/>
      <c r="B14" s="92" t="s">
        <v>66</v>
      </c>
      <c r="C14" s="35"/>
      <c r="D14" s="35"/>
      <c r="E14" s="35"/>
      <c r="F14" s="35"/>
      <c r="G14" s="35"/>
      <c r="H14" s="34">
        <v>500.0</v>
      </c>
      <c r="I14" s="34"/>
      <c r="J14" s="117"/>
      <c r="K14" s="123"/>
      <c r="L14" s="123"/>
    </row>
    <row r="15">
      <c r="A15" s="16"/>
      <c r="B15" s="92" t="s">
        <v>67</v>
      </c>
      <c r="C15" s="82"/>
      <c r="D15" s="82"/>
      <c r="E15" s="82"/>
      <c r="F15" s="82"/>
      <c r="G15" s="82"/>
      <c r="H15" s="34">
        <v>200.0</v>
      </c>
      <c r="I15" s="34"/>
      <c r="J15" s="122"/>
      <c r="K15" s="124"/>
      <c r="L15" s="125"/>
    </row>
    <row r="16">
      <c r="A16" s="16"/>
      <c r="B16" s="91" t="s">
        <v>80</v>
      </c>
      <c r="C16" s="82"/>
      <c r="D16" s="82"/>
      <c r="E16" s="82"/>
      <c r="F16" s="82"/>
      <c r="G16" s="82"/>
      <c r="H16" s="34">
        <v>300.0</v>
      </c>
      <c r="I16" s="34"/>
      <c r="J16" s="122"/>
      <c r="K16" s="123"/>
      <c r="L16" s="123"/>
    </row>
    <row r="17">
      <c r="A17" s="16" t="s">
        <v>69</v>
      </c>
      <c r="B17" s="82"/>
      <c r="C17" s="82"/>
      <c r="D17" s="82"/>
      <c r="E17" s="82"/>
      <c r="F17" s="82"/>
      <c r="G17" s="82"/>
      <c r="H17" s="42">
        <f>sum(H14:H16)</f>
        <v>1000</v>
      </c>
      <c r="I17" s="126">
        <f>SUM(I14:I16)</f>
        <v>0</v>
      </c>
      <c r="J17" s="127">
        <f>I17-H17</f>
        <v>-1000</v>
      </c>
      <c r="K17" s="123"/>
      <c r="L17" s="123"/>
    </row>
    <row r="18">
      <c r="A18" s="16"/>
      <c r="B18" s="128"/>
      <c r="C18" s="35"/>
      <c r="D18" s="35"/>
      <c r="E18" s="35"/>
      <c r="F18" s="35"/>
      <c r="G18" s="35"/>
      <c r="I18" s="129"/>
      <c r="J18" s="117"/>
      <c r="K18" s="123"/>
      <c r="L18" s="123"/>
    </row>
    <row r="19">
      <c r="A19" s="61" t="s">
        <v>70</v>
      </c>
      <c r="B19" s="94"/>
      <c r="C19" s="94"/>
      <c r="D19" s="94"/>
      <c r="E19" s="94"/>
      <c r="F19" s="94"/>
      <c r="G19" s="94"/>
      <c r="H19" s="94">
        <f>H17</f>
        <v>1000</v>
      </c>
      <c r="I19" s="94">
        <f>I17/2</f>
        <v>0</v>
      </c>
      <c r="J19" s="130">
        <f>I19-H19</f>
        <v>-1000</v>
      </c>
    </row>
    <row r="20">
      <c r="A20" s="99"/>
      <c r="B20" s="69"/>
      <c r="C20" s="69"/>
      <c r="D20" s="69"/>
      <c r="E20" s="69"/>
      <c r="F20" s="69"/>
      <c r="G20" s="69"/>
      <c r="H20" s="69"/>
      <c r="I20" s="69"/>
      <c r="J20" s="131"/>
    </row>
    <row r="21">
      <c r="A21" s="101" t="s">
        <v>71</v>
      </c>
      <c r="B21" s="102"/>
      <c r="C21" s="102"/>
      <c r="D21" s="102"/>
      <c r="E21" s="102"/>
      <c r="F21" s="102"/>
      <c r="G21" s="102"/>
      <c r="H21" s="102">
        <f t="shared" ref="H21:I21" si="2">H10-H19</f>
        <v>-1000</v>
      </c>
      <c r="I21" s="102">
        <f t="shared" si="2"/>
        <v>0</v>
      </c>
      <c r="J21" s="132">
        <f>I21-H21</f>
        <v>1000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45962.0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82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7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25"/>
      <c r="G6" s="25"/>
      <c r="H6" s="25"/>
      <c r="I6" s="25"/>
      <c r="J6" s="116"/>
    </row>
    <row r="7">
      <c r="A7" s="32"/>
      <c r="B7" s="33" t="s">
        <v>63</v>
      </c>
      <c r="C7" s="34"/>
      <c r="D7" s="35"/>
      <c r="E7" s="35"/>
      <c r="F7" s="35"/>
      <c r="G7" s="35"/>
      <c r="H7" s="34">
        <v>0.0</v>
      </c>
      <c r="I7" s="34">
        <v>0.0</v>
      </c>
      <c r="J7" s="117"/>
    </row>
    <row r="8">
      <c r="A8" s="40"/>
      <c r="B8" s="34" t="s">
        <v>64</v>
      </c>
      <c r="C8" s="35"/>
      <c r="D8" s="35"/>
      <c r="E8" s="35"/>
      <c r="F8" s="35"/>
      <c r="G8" s="35"/>
      <c r="H8" s="34">
        <v>0.0</v>
      </c>
      <c r="I8" s="34">
        <v>0.0</v>
      </c>
      <c r="J8" s="117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7"/>
    </row>
    <row r="10">
      <c r="A10" s="118" t="s">
        <v>22</v>
      </c>
      <c r="B10" s="119"/>
      <c r="C10" s="119"/>
      <c r="D10" s="119"/>
      <c r="E10" s="119"/>
      <c r="F10" s="119"/>
      <c r="G10" s="119"/>
      <c r="H10" s="120">
        <f t="shared" ref="H10:I10" si="1">sum(H7:H9)</f>
        <v>0</v>
      </c>
      <c r="I10" s="120">
        <f t="shared" si="1"/>
        <v>0</v>
      </c>
      <c r="J10" s="121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7"/>
    </row>
    <row r="12">
      <c r="A12" s="16" t="s">
        <v>32</v>
      </c>
      <c r="B12" s="69"/>
      <c r="C12" s="69"/>
      <c r="D12" s="69"/>
      <c r="E12" s="69"/>
      <c r="F12" s="17" t="s">
        <v>60</v>
      </c>
      <c r="G12" s="17" t="s">
        <v>61</v>
      </c>
      <c r="H12" s="17" t="s">
        <v>7</v>
      </c>
      <c r="I12" s="17" t="s">
        <v>8</v>
      </c>
      <c r="J12" s="115" t="s">
        <v>9</v>
      </c>
    </row>
    <row r="13">
      <c r="A13" s="81" t="s">
        <v>65</v>
      </c>
      <c r="B13" s="82"/>
      <c r="C13" s="82"/>
      <c r="D13" s="82"/>
      <c r="E13" s="82"/>
      <c r="F13" s="82"/>
      <c r="G13" s="82"/>
      <c r="H13" s="82"/>
      <c r="I13" s="82"/>
      <c r="J13" s="122"/>
      <c r="K13" s="123"/>
      <c r="L13" s="123"/>
    </row>
    <row r="14">
      <c r="A14" s="86"/>
      <c r="B14" s="92" t="s">
        <v>66</v>
      </c>
      <c r="C14" s="35"/>
      <c r="D14" s="35"/>
      <c r="E14" s="35"/>
      <c r="F14" s="35"/>
      <c r="G14" s="35"/>
      <c r="H14" s="34">
        <v>500.0</v>
      </c>
      <c r="I14" s="34"/>
      <c r="J14" s="117"/>
      <c r="K14" s="123"/>
      <c r="L14" s="123"/>
    </row>
    <row r="15">
      <c r="A15" s="16"/>
      <c r="B15" s="92" t="s">
        <v>67</v>
      </c>
      <c r="C15" s="82"/>
      <c r="D15" s="82"/>
      <c r="E15" s="82"/>
      <c r="F15" s="82"/>
      <c r="G15" s="82"/>
      <c r="H15" s="34">
        <v>200.0</v>
      </c>
      <c r="I15" s="34"/>
      <c r="J15" s="122"/>
      <c r="K15" s="124"/>
      <c r="L15" s="125"/>
    </row>
    <row r="16">
      <c r="A16" s="16"/>
      <c r="B16" s="91" t="s">
        <v>80</v>
      </c>
      <c r="C16" s="82"/>
      <c r="D16" s="82"/>
      <c r="E16" s="82"/>
      <c r="F16" s="82"/>
      <c r="G16" s="82"/>
      <c r="H16" s="34">
        <v>300.0</v>
      </c>
      <c r="I16" s="34"/>
      <c r="J16" s="122"/>
      <c r="K16" s="123"/>
      <c r="L16" s="123"/>
    </row>
    <row r="17">
      <c r="A17" s="16" t="s">
        <v>69</v>
      </c>
      <c r="B17" s="82"/>
      <c r="C17" s="82"/>
      <c r="D17" s="82"/>
      <c r="E17" s="82"/>
      <c r="F17" s="82"/>
      <c r="G17" s="82"/>
      <c r="H17" s="42">
        <f>sum(H14:H16)</f>
        <v>1000</v>
      </c>
      <c r="I17" s="126">
        <f>SUM(I14:I16)</f>
        <v>0</v>
      </c>
      <c r="J17" s="127">
        <f>I17-H17</f>
        <v>-1000</v>
      </c>
      <c r="K17" s="123"/>
      <c r="L17" s="123"/>
    </row>
    <row r="18">
      <c r="A18" s="16"/>
      <c r="B18" s="128"/>
      <c r="C18" s="35"/>
      <c r="D18" s="35"/>
      <c r="E18" s="35"/>
      <c r="F18" s="35"/>
      <c r="G18" s="35"/>
      <c r="I18" s="129"/>
      <c r="J18" s="117"/>
      <c r="K18" s="123"/>
      <c r="L18" s="123"/>
    </row>
    <row r="19">
      <c r="A19" s="61" t="s">
        <v>70</v>
      </c>
      <c r="B19" s="94"/>
      <c r="C19" s="94"/>
      <c r="D19" s="94"/>
      <c r="E19" s="94"/>
      <c r="F19" s="94"/>
      <c r="G19" s="94"/>
      <c r="H19" s="94">
        <f>H17</f>
        <v>1000</v>
      </c>
      <c r="I19" s="94">
        <f>I17/2</f>
        <v>0</v>
      </c>
      <c r="J19" s="130">
        <f>I19-H19</f>
        <v>-1000</v>
      </c>
    </row>
    <row r="20">
      <c r="A20" s="99"/>
      <c r="B20" s="69"/>
      <c r="C20" s="69"/>
      <c r="D20" s="69"/>
      <c r="E20" s="69"/>
      <c r="F20" s="69"/>
      <c r="G20" s="69"/>
      <c r="H20" s="69"/>
      <c r="I20" s="69"/>
      <c r="J20" s="131"/>
    </row>
    <row r="21">
      <c r="A21" s="101" t="s">
        <v>71</v>
      </c>
      <c r="B21" s="102"/>
      <c r="C21" s="102"/>
      <c r="D21" s="102"/>
      <c r="E21" s="102"/>
      <c r="F21" s="102"/>
      <c r="G21" s="102"/>
      <c r="H21" s="102">
        <f t="shared" ref="H21:I21" si="2">H10-H19</f>
        <v>-1000</v>
      </c>
      <c r="I21" s="102">
        <f t="shared" si="2"/>
        <v>0</v>
      </c>
      <c r="J21" s="132">
        <f>I21-H21</f>
        <v>1000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10.13"/>
    <col customWidth="1" min="7" max="7" width="7.38"/>
    <col customWidth="1" min="8" max="8" width="12.5"/>
    <col customWidth="1" min="9" max="9" width="11.25"/>
    <col customWidth="1" min="10" max="10" width="11.75"/>
  </cols>
  <sheetData>
    <row r="1">
      <c r="A1" s="1" t="s">
        <v>83</v>
      </c>
      <c r="B1" s="2"/>
      <c r="C1" s="2"/>
      <c r="D1" s="2"/>
      <c r="E1" s="2"/>
      <c r="F1" s="2"/>
      <c r="G1" s="133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11">
        <v>45717.0</v>
      </c>
      <c r="B2" s="2"/>
      <c r="C2" s="2"/>
      <c r="D2" s="2"/>
      <c r="E2" s="2"/>
      <c r="F2" s="2"/>
      <c r="G2" s="133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133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84</v>
      </c>
      <c r="B4" s="113"/>
      <c r="C4" s="113"/>
      <c r="D4" s="113"/>
      <c r="E4" s="113"/>
      <c r="F4" s="113"/>
      <c r="G4" s="113"/>
      <c r="H4" s="113"/>
      <c r="I4" s="113"/>
      <c r="J4" s="114"/>
    </row>
    <row r="5">
      <c r="A5" s="16" t="s">
        <v>6</v>
      </c>
      <c r="B5" s="17"/>
      <c r="C5" s="17"/>
      <c r="D5" s="17"/>
      <c r="E5" s="17"/>
      <c r="F5" s="17" t="s">
        <v>60</v>
      </c>
      <c r="G5" s="134" t="s">
        <v>61</v>
      </c>
      <c r="H5" s="17" t="s">
        <v>7</v>
      </c>
      <c r="I5" s="17" t="s">
        <v>8</v>
      </c>
      <c r="J5" s="115" t="s">
        <v>9</v>
      </c>
    </row>
    <row r="6">
      <c r="A6" s="24" t="s">
        <v>62</v>
      </c>
      <c r="B6" s="25"/>
      <c r="C6" s="25"/>
      <c r="D6" s="25"/>
      <c r="E6" s="25"/>
      <c r="F6" s="135"/>
      <c r="G6" s="136"/>
      <c r="H6" s="25"/>
      <c r="I6" s="25"/>
      <c r="J6" s="116"/>
      <c r="L6" s="137">
        <v>150.0</v>
      </c>
      <c r="M6" s="137">
        <v>175.0</v>
      </c>
      <c r="N6" s="138"/>
    </row>
    <row r="7">
      <c r="A7" s="139" t="s">
        <v>85</v>
      </c>
      <c r="B7" s="33"/>
      <c r="C7" s="34"/>
      <c r="D7" s="35"/>
      <c r="E7" s="35"/>
      <c r="F7" s="135">
        <v>150.0</v>
      </c>
      <c r="G7" s="140">
        <v>7.0</v>
      </c>
      <c r="H7" s="35">
        <v>1500.0</v>
      </c>
      <c r="I7" s="34">
        <f t="shared" ref="I7:I8" si="1">F7*G7</f>
        <v>1050</v>
      </c>
      <c r="J7" s="117"/>
      <c r="K7" s="141" t="s">
        <v>86</v>
      </c>
      <c r="L7" s="142" t="s">
        <v>87</v>
      </c>
      <c r="M7" s="142" t="s">
        <v>88</v>
      </c>
      <c r="N7" s="142" t="s">
        <v>86</v>
      </c>
    </row>
    <row r="8">
      <c r="A8" s="139" t="s">
        <v>89</v>
      </c>
      <c r="B8" s="33"/>
      <c r="C8" s="34"/>
      <c r="D8" s="35"/>
      <c r="E8" s="35"/>
      <c r="F8" s="135">
        <v>175.0</v>
      </c>
      <c r="G8" s="140">
        <v>14.0</v>
      </c>
      <c r="H8" s="35">
        <v>3700.0</v>
      </c>
      <c r="I8" s="35">
        <f t="shared" si="1"/>
        <v>2450</v>
      </c>
      <c r="J8" s="117"/>
      <c r="K8" s="141" t="s">
        <v>86</v>
      </c>
      <c r="L8" s="142" t="s">
        <v>90</v>
      </c>
      <c r="M8" s="142" t="s">
        <v>91</v>
      </c>
      <c r="N8" s="142" t="s">
        <v>86</v>
      </c>
    </row>
    <row r="9">
      <c r="A9" s="139" t="s">
        <v>92</v>
      </c>
      <c r="B9" s="33"/>
      <c r="C9" s="34"/>
      <c r="D9" s="35"/>
      <c r="E9" s="35"/>
      <c r="F9" s="135">
        <v>195.0</v>
      </c>
      <c r="G9" s="140"/>
      <c r="H9" s="35">
        <v>0.0</v>
      </c>
      <c r="I9" s="35">
        <f t="shared" ref="I9:I10" si="2">G9*F9</f>
        <v>0</v>
      </c>
      <c r="J9" s="117"/>
      <c r="K9" s="141" t="s">
        <v>86</v>
      </c>
      <c r="L9" s="142" t="s">
        <v>93</v>
      </c>
      <c r="M9" s="142" t="s">
        <v>94</v>
      </c>
      <c r="N9" s="142" t="s">
        <v>86</v>
      </c>
    </row>
    <row r="10">
      <c r="A10" s="40" t="s">
        <v>95</v>
      </c>
      <c r="B10" s="33"/>
      <c r="C10" s="34"/>
      <c r="D10" s="35"/>
      <c r="E10" s="35"/>
      <c r="F10" s="135">
        <v>750.0</v>
      </c>
      <c r="G10" s="140">
        <v>3.0</v>
      </c>
      <c r="H10" s="35">
        <v>2250.0</v>
      </c>
      <c r="I10" s="34">
        <f t="shared" si="2"/>
        <v>2250</v>
      </c>
      <c r="J10" s="117"/>
      <c r="K10" s="141" t="s">
        <v>86</v>
      </c>
      <c r="L10" s="142" t="s">
        <v>96</v>
      </c>
      <c r="M10" s="142" t="s">
        <v>97</v>
      </c>
      <c r="N10" s="142" t="s">
        <v>86</v>
      </c>
    </row>
    <row r="11">
      <c r="A11" s="32"/>
      <c r="B11" s="33"/>
      <c r="C11" s="34"/>
      <c r="D11" s="35"/>
      <c r="E11" s="35"/>
      <c r="F11" s="135"/>
      <c r="G11" s="140"/>
      <c r="H11" s="35">
        <v>0.0</v>
      </c>
      <c r="I11" s="35"/>
      <c r="J11" s="117"/>
      <c r="K11" s="141" t="s">
        <v>86</v>
      </c>
      <c r="L11" s="142" t="s">
        <v>98</v>
      </c>
      <c r="M11" s="142" t="s">
        <v>99</v>
      </c>
      <c r="N11" s="142" t="s">
        <v>86</v>
      </c>
    </row>
    <row r="12">
      <c r="A12" s="118" t="s">
        <v>22</v>
      </c>
      <c r="B12" s="119"/>
      <c r="C12" s="119"/>
      <c r="D12" s="119"/>
      <c r="E12" s="119"/>
      <c r="F12" s="119"/>
      <c r="G12" s="143"/>
      <c r="H12" s="120">
        <v>7450.0</v>
      </c>
      <c r="I12" s="144">
        <f>sum(I7:I10)</f>
        <v>5750</v>
      </c>
      <c r="J12" s="145">
        <f>H12-I12</f>
        <v>1700</v>
      </c>
      <c r="K12" s="141" t="s">
        <v>86</v>
      </c>
      <c r="L12" s="142" t="s">
        <v>100</v>
      </c>
      <c r="M12" s="142" t="s">
        <v>101</v>
      </c>
      <c r="N12" s="142" t="s">
        <v>86</v>
      </c>
    </row>
    <row r="13">
      <c r="A13" s="51"/>
      <c r="B13" s="35"/>
      <c r="C13" s="35"/>
      <c r="D13" s="35"/>
      <c r="E13" s="35"/>
      <c r="F13" s="35"/>
      <c r="G13" s="146"/>
      <c r="H13" s="35"/>
      <c r="I13" s="35"/>
      <c r="J13" s="117"/>
      <c r="K13" s="141" t="s">
        <v>86</v>
      </c>
      <c r="L13" s="142" t="s">
        <v>102</v>
      </c>
      <c r="M13" s="142" t="s">
        <v>103</v>
      </c>
      <c r="N13" s="142" t="s">
        <v>86</v>
      </c>
    </row>
    <row r="14">
      <c r="A14" s="16" t="s">
        <v>32</v>
      </c>
      <c r="B14" s="69"/>
      <c r="C14" s="69"/>
      <c r="D14" s="69"/>
      <c r="E14" s="69"/>
      <c r="F14" s="17" t="s">
        <v>60</v>
      </c>
      <c r="G14" s="134" t="s">
        <v>61</v>
      </c>
      <c r="H14" s="147" t="s">
        <v>7</v>
      </c>
      <c r="I14" s="17" t="s">
        <v>8</v>
      </c>
      <c r="J14" s="115" t="s">
        <v>9</v>
      </c>
      <c r="K14" s="141" t="s">
        <v>86</v>
      </c>
      <c r="L14" s="141" t="s">
        <v>104</v>
      </c>
      <c r="M14" s="141" t="s">
        <v>105</v>
      </c>
      <c r="N14" s="141" t="s">
        <v>86</v>
      </c>
    </row>
    <row r="15">
      <c r="A15" s="81" t="s">
        <v>106</v>
      </c>
      <c r="B15" s="82"/>
      <c r="C15" s="82"/>
      <c r="D15" s="82"/>
      <c r="E15" s="82"/>
      <c r="F15" s="82"/>
      <c r="G15" s="148"/>
      <c r="H15" s="35"/>
      <c r="I15" s="82"/>
      <c r="J15" s="122"/>
      <c r="L15" s="142" t="s">
        <v>107</v>
      </c>
      <c r="M15" s="142" t="s">
        <v>108</v>
      </c>
      <c r="N15" s="142" t="s">
        <v>86</v>
      </c>
    </row>
    <row r="16">
      <c r="A16" s="86"/>
      <c r="B16" s="33" t="s">
        <v>109</v>
      </c>
      <c r="C16" s="35"/>
      <c r="D16" s="35"/>
      <c r="E16" s="35"/>
      <c r="F16" s="91">
        <v>230.45</v>
      </c>
      <c r="G16" s="140">
        <v>8.0</v>
      </c>
      <c r="H16" s="35">
        <v>1843.68</v>
      </c>
      <c r="I16" s="91">
        <f>G16*F16</f>
        <v>1843.6</v>
      </c>
      <c r="J16" s="117"/>
      <c r="K16" s="141" t="s">
        <v>86</v>
      </c>
      <c r="L16" s="142" t="s">
        <v>110</v>
      </c>
      <c r="M16" s="142" t="s">
        <v>111</v>
      </c>
      <c r="N16" s="142" t="s">
        <v>86</v>
      </c>
    </row>
    <row r="17">
      <c r="A17" s="86"/>
      <c r="B17" s="33" t="s">
        <v>66</v>
      </c>
      <c r="C17" s="35"/>
      <c r="D17" s="35"/>
      <c r="E17" s="35"/>
      <c r="F17" s="34">
        <v>20.5</v>
      </c>
      <c r="G17" s="140">
        <v>0.0</v>
      </c>
      <c r="H17" s="35">
        <v>1200.0</v>
      </c>
      <c r="I17" s="149">
        <f>55.33+10.45</f>
        <v>65.78</v>
      </c>
      <c r="J17" s="117"/>
      <c r="L17" s="150"/>
      <c r="M17" s="142" t="s">
        <v>112</v>
      </c>
      <c r="N17" s="142" t="s">
        <v>86</v>
      </c>
    </row>
    <row r="18">
      <c r="A18" s="86"/>
      <c r="B18" s="33" t="s">
        <v>113</v>
      </c>
      <c r="C18" s="35"/>
      <c r="D18" s="35"/>
      <c r="E18" s="35"/>
      <c r="F18" s="34"/>
      <c r="G18" s="140"/>
      <c r="H18" s="34">
        <v>300.0</v>
      </c>
      <c r="I18" s="34">
        <f>142.04+2.83+38.14</f>
        <v>183.01</v>
      </c>
      <c r="J18" s="117"/>
      <c r="L18" s="150"/>
      <c r="M18" s="141" t="s">
        <v>114</v>
      </c>
      <c r="N18" s="142" t="s">
        <v>86</v>
      </c>
    </row>
    <row r="19">
      <c r="A19" s="16" t="s">
        <v>115</v>
      </c>
      <c r="B19" s="82"/>
      <c r="C19" s="82"/>
      <c r="D19" s="82"/>
      <c r="E19" s="82"/>
      <c r="F19" s="82"/>
      <c r="G19" s="148"/>
      <c r="H19" s="42">
        <v>3043.6800000000003</v>
      </c>
      <c r="I19" s="90">
        <f>sum(I16:I18)</f>
        <v>2092.39</v>
      </c>
      <c r="J19" s="127"/>
      <c r="M19" s="141" t="s">
        <v>116</v>
      </c>
      <c r="N19" s="141" t="s">
        <v>86</v>
      </c>
    </row>
    <row r="20">
      <c r="A20" s="81" t="s">
        <v>117</v>
      </c>
      <c r="B20" s="82"/>
      <c r="C20" s="82"/>
      <c r="D20" s="82"/>
      <c r="E20" s="82"/>
      <c r="F20" s="82"/>
      <c r="G20" s="148"/>
      <c r="H20" s="82"/>
      <c r="I20" s="82"/>
      <c r="J20" s="122"/>
      <c r="M20" s="141" t="s">
        <v>118</v>
      </c>
      <c r="N20" s="141" t="s">
        <v>86</v>
      </c>
    </row>
    <row r="21">
      <c r="A21" s="151" t="s">
        <v>119</v>
      </c>
      <c r="B21" s="33"/>
      <c r="C21" s="35"/>
      <c r="D21" s="35"/>
      <c r="E21" s="35"/>
      <c r="F21" s="34">
        <v>60.5</v>
      </c>
      <c r="G21" s="140">
        <v>24.0</v>
      </c>
      <c r="H21" s="35">
        <v>1769.0</v>
      </c>
      <c r="I21" s="35">
        <f t="shared" ref="I21:I22" si="3">F21*G21</f>
        <v>1452</v>
      </c>
      <c r="J21" s="117"/>
    </row>
    <row r="22">
      <c r="A22" s="151" t="s">
        <v>120</v>
      </c>
      <c r="B22" s="33"/>
      <c r="C22" s="35"/>
      <c r="D22" s="35"/>
      <c r="E22" s="35"/>
      <c r="F22" s="34">
        <v>66.55</v>
      </c>
      <c r="G22" s="140">
        <v>24.0</v>
      </c>
      <c r="H22" s="35">
        <v>1943.0</v>
      </c>
      <c r="I22" s="35">
        <f t="shared" si="3"/>
        <v>1597.2</v>
      </c>
      <c r="J22" s="117"/>
    </row>
    <row r="23">
      <c r="A23" s="86"/>
      <c r="B23" s="33"/>
      <c r="C23" s="35"/>
      <c r="D23" s="35"/>
      <c r="E23" s="35"/>
      <c r="F23" s="34"/>
      <c r="G23" s="140"/>
      <c r="H23" s="35"/>
      <c r="I23" s="35"/>
      <c r="J23" s="117"/>
    </row>
    <row r="24">
      <c r="A24" s="86"/>
      <c r="B24" s="33" t="s">
        <v>121</v>
      </c>
      <c r="C24" s="35"/>
      <c r="D24" s="35"/>
      <c r="E24" s="35"/>
      <c r="F24" s="34"/>
      <c r="G24" s="140"/>
      <c r="H24" s="35">
        <v>3712.0</v>
      </c>
      <c r="I24" s="34">
        <v>3049.2</v>
      </c>
      <c r="J24" s="117"/>
    </row>
    <row r="25">
      <c r="A25" s="16" t="s">
        <v>122</v>
      </c>
      <c r="B25" s="33"/>
      <c r="C25" s="82"/>
      <c r="D25" s="82"/>
      <c r="E25" s="82"/>
      <c r="F25" s="82"/>
      <c r="G25" s="148"/>
      <c r="H25" s="42">
        <v>4194.5599999999995</v>
      </c>
      <c r="I25" s="152">
        <f>I24*1.13</f>
        <v>3445.596</v>
      </c>
      <c r="J25" s="127"/>
      <c r="L25" s="129">
        <f>4575-I19+750+750-100</f>
        <v>3882.61</v>
      </c>
    </row>
    <row r="26">
      <c r="A26" s="81"/>
      <c r="B26" s="33"/>
      <c r="C26" s="35"/>
      <c r="D26" s="35"/>
      <c r="E26" s="35"/>
      <c r="F26" s="35"/>
      <c r="G26" s="146"/>
      <c r="H26" s="35"/>
      <c r="I26" s="35"/>
      <c r="J26" s="117"/>
      <c r="L26" s="141">
        <v>850.0</v>
      </c>
    </row>
    <row r="27">
      <c r="A27" s="61" t="s">
        <v>75</v>
      </c>
      <c r="B27" s="94"/>
      <c r="C27" s="94"/>
      <c r="D27" s="94"/>
      <c r="E27" s="94"/>
      <c r="F27" s="94"/>
      <c r="G27" s="153"/>
      <c r="H27" s="154">
        <v>7382.879999999999</v>
      </c>
      <c r="I27" s="155">
        <f>I19+I25</f>
        <v>5537.986</v>
      </c>
      <c r="J27" s="130"/>
      <c r="L27" s="129">
        <f>L25-L26</f>
        <v>3032.61</v>
      </c>
    </row>
    <row r="28">
      <c r="A28" s="99"/>
      <c r="B28" s="69"/>
      <c r="C28" s="69"/>
      <c r="D28" s="69"/>
      <c r="E28" s="69"/>
      <c r="F28" s="69"/>
      <c r="G28" s="148"/>
      <c r="H28" s="69"/>
      <c r="I28" s="69"/>
      <c r="J28" s="131"/>
      <c r="L28" s="141">
        <v>100.0</v>
      </c>
    </row>
    <row r="29">
      <c r="A29" s="101" t="s">
        <v>71</v>
      </c>
      <c r="B29" s="102"/>
      <c r="C29" s="102"/>
      <c r="D29" s="102"/>
      <c r="E29" s="102"/>
      <c r="F29" s="102"/>
      <c r="G29" s="156"/>
      <c r="H29" s="102">
        <v>67.1200000000008</v>
      </c>
      <c r="I29" s="102">
        <f>I12-I27</f>
        <v>212.014</v>
      </c>
      <c r="J29" s="132"/>
      <c r="L29" s="129">
        <f>L27-L28</f>
        <v>2932.61</v>
      </c>
    </row>
    <row r="30">
      <c r="G30" s="157"/>
    </row>
    <row r="31">
      <c r="G31" s="157"/>
    </row>
    <row r="32">
      <c r="G32" s="157"/>
    </row>
    <row r="33">
      <c r="G33" s="157"/>
    </row>
    <row r="34">
      <c r="G34" s="157"/>
    </row>
    <row r="35">
      <c r="G35" s="157"/>
    </row>
    <row r="36">
      <c r="G36" s="158"/>
    </row>
    <row r="37">
      <c r="G37" s="157"/>
    </row>
    <row r="38">
      <c r="G38" s="158"/>
    </row>
    <row r="39">
      <c r="G39" s="158"/>
    </row>
    <row r="40">
      <c r="G40" s="157"/>
    </row>
    <row r="41">
      <c r="G41" s="157"/>
    </row>
    <row r="42">
      <c r="G42" s="157"/>
    </row>
    <row r="43">
      <c r="G43" s="157"/>
    </row>
    <row r="44">
      <c r="G44" s="157"/>
    </row>
    <row r="45">
      <c r="G45" s="157"/>
    </row>
    <row r="46">
      <c r="G46" s="157"/>
    </row>
    <row r="47">
      <c r="G47" s="157"/>
    </row>
    <row r="48">
      <c r="G48" s="157"/>
    </row>
    <row r="49">
      <c r="G49" s="157"/>
    </row>
    <row r="50">
      <c r="G50" s="157"/>
    </row>
    <row r="51">
      <c r="G51" s="157"/>
    </row>
    <row r="52">
      <c r="G52" s="157"/>
    </row>
    <row r="53">
      <c r="G53" s="157"/>
    </row>
    <row r="54">
      <c r="G54" s="157"/>
    </row>
    <row r="55">
      <c r="G55" s="157"/>
    </row>
    <row r="56">
      <c r="G56" s="157"/>
    </row>
    <row r="57">
      <c r="G57" s="157"/>
    </row>
    <row r="58">
      <c r="G58" s="157"/>
    </row>
    <row r="59">
      <c r="G59" s="157"/>
    </row>
    <row r="60">
      <c r="G60" s="157"/>
    </row>
    <row r="61">
      <c r="G61" s="157"/>
    </row>
    <row r="62">
      <c r="G62" s="157"/>
    </row>
    <row r="63">
      <c r="G63" s="157"/>
    </row>
    <row r="64">
      <c r="G64" s="157"/>
    </row>
    <row r="65">
      <c r="G65" s="157"/>
    </row>
    <row r="66">
      <c r="G66" s="157"/>
    </row>
    <row r="67">
      <c r="G67" s="157"/>
    </row>
    <row r="68">
      <c r="G68" s="157"/>
    </row>
    <row r="69">
      <c r="G69" s="157"/>
    </row>
    <row r="70">
      <c r="G70" s="157"/>
    </row>
    <row r="71">
      <c r="G71" s="157"/>
    </row>
    <row r="72">
      <c r="G72" s="157"/>
    </row>
    <row r="73">
      <c r="G73" s="157"/>
    </row>
    <row r="74">
      <c r="G74" s="157"/>
    </row>
    <row r="75">
      <c r="G75" s="157"/>
    </row>
    <row r="76">
      <c r="G76" s="157"/>
    </row>
    <row r="77">
      <c r="G77" s="157"/>
    </row>
    <row r="78">
      <c r="G78" s="157"/>
    </row>
    <row r="79">
      <c r="G79" s="157"/>
    </row>
    <row r="80">
      <c r="G80" s="157"/>
    </row>
    <row r="81">
      <c r="G81" s="157"/>
    </row>
    <row r="82">
      <c r="G82" s="157"/>
    </row>
    <row r="83">
      <c r="G83" s="157"/>
    </row>
    <row r="84">
      <c r="G84" s="157"/>
    </row>
    <row r="85">
      <c r="G85" s="157"/>
    </row>
    <row r="86">
      <c r="G86" s="157"/>
    </row>
    <row r="87">
      <c r="G87" s="157"/>
    </row>
    <row r="88">
      <c r="G88" s="157"/>
    </row>
    <row r="89">
      <c r="G89" s="157"/>
    </row>
    <row r="90">
      <c r="G90" s="157"/>
    </row>
    <row r="91">
      <c r="G91" s="157"/>
    </row>
    <row r="92">
      <c r="G92" s="157"/>
    </row>
    <row r="93">
      <c r="G93" s="157"/>
    </row>
    <row r="94">
      <c r="G94" s="157"/>
    </row>
    <row r="95">
      <c r="G95" s="157"/>
    </row>
    <row r="96">
      <c r="G96" s="157"/>
    </row>
    <row r="97">
      <c r="G97" s="157"/>
    </row>
    <row r="98">
      <c r="G98" s="157"/>
    </row>
    <row r="99">
      <c r="G99" s="157"/>
    </row>
    <row r="100">
      <c r="G100" s="157"/>
    </row>
    <row r="101">
      <c r="G101" s="157"/>
    </row>
    <row r="102">
      <c r="G102" s="157"/>
    </row>
    <row r="103">
      <c r="G103" s="157"/>
    </row>
    <row r="104">
      <c r="G104" s="157"/>
    </row>
    <row r="105">
      <c r="G105" s="157"/>
    </row>
    <row r="106">
      <c r="G106" s="157"/>
    </row>
    <row r="107">
      <c r="G107" s="157"/>
    </row>
    <row r="108">
      <c r="G108" s="157"/>
    </row>
    <row r="109">
      <c r="G109" s="157"/>
    </row>
    <row r="110">
      <c r="G110" s="157"/>
    </row>
    <row r="111">
      <c r="G111" s="157"/>
    </row>
    <row r="112">
      <c r="G112" s="157"/>
    </row>
    <row r="113">
      <c r="G113" s="157"/>
    </row>
    <row r="114">
      <c r="G114" s="157"/>
    </row>
    <row r="115">
      <c r="G115" s="157"/>
    </row>
    <row r="116">
      <c r="G116" s="157"/>
    </row>
    <row r="117">
      <c r="G117" s="157"/>
    </row>
    <row r="118">
      <c r="G118" s="157"/>
    </row>
    <row r="119">
      <c r="G119" s="157"/>
    </row>
    <row r="120">
      <c r="G120" s="157"/>
    </row>
    <row r="121">
      <c r="G121" s="157"/>
    </row>
    <row r="122">
      <c r="G122" s="157"/>
    </row>
    <row r="123">
      <c r="G123" s="157"/>
    </row>
    <row r="124">
      <c r="G124" s="157"/>
    </row>
    <row r="125">
      <c r="G125" s="157"/>
    </row>
    <row r="126">
      <c r="G126" s="157"/>
    </row>
    <row r="127">
      <c r="G127" s="157"/>
    </row>
    <row r="128">
      <c r="G128" s="157"/>
    </row>
    <row r="129">
      <c r="G129" s="157"/>
    </row>
    <row r="130">
      <c r="G130" s="157"/>
    </row>
    <row r="131">
      <c r="G131" s="157"/>
    </row>
    <row r="132">
      <c r="G132" s="157"/>
    </row>
    <row r="133">
      <c r="G133" s="157"/>
    </row>
    <row r="134">
      <c r="G134" s="157"/>
    </row>
    <row r="135">
      <c r="G135" s="157"/>
    </row>
    <row r="136">
      <c r="G136" s="157"/>
    </row>
    <row r="137">
      <c r="G137" s="157"/>
    </row>
    <row r="138">
      <c r="G138" s="157"/>
    </row>
    <row r="139">
      <c r="G139" s="157"/>
    </row>
    <row r="140">
      <c r="G140" s="157"/>
    </row>
    <row r="141">
      <c r="G141" s="157"/>
    </row>
    <row r="142">
      <c r="G142" s="157"/>
    </row>
    <row r="143">
      <c r="G143" s="157"/>
    </row>
    <row r="144">
      <c r="G144" s="157"/>
    </row>
    <row r="145">
      <c r="G145" s="157"/>
    </row>
    <row r="146">
      <c r="G146" s="157"/>
    </row>
    <row r="147">
      <c r="G147" s="157"/>
    </row>
    <row r="148">
      <c r="G148" s="157"/>
    </row>
    <row r="149">
      <c r="G149" s="157"/>
    </row>
    <row r="150">
      <c r="G150" s="157"/>
    </row>
    <row r="151">
      <c r="G151" s="157"/>
    </row>
    <row r="152">
      <c r="G152" s="157"/>
    </row>
    <row r="153">
      <c r="G153" s="157"/>
    </row>
    <row r="154">
      <c r="G154" s="157"/>
    </row>
    <row r="155">
      <c r="G155" s="157"/>
    </row>
    <row r="156">
      <c r="G156" s="157"/>
    </row>
    <row r="157">
      <c r="G157" s="157"/>
    </row>
    <row r="158">
      <c r="G158" s="157"/>
    </row>
    <row r="159">
      <c r="G159" s="157"/>
    </row>
    <row r="160">
      <c r="G160" s="157"/>
    </row>
    <row r="161">
      <c r="G161" s="157"/>
    </row>
    <row r="162">
      <c r="G162" s="157"/>
    </row>
    <row r="163">
      <c r="G163" s="157"/>
    </row>
    <row r="164">
      <c r="G164" s="157"/>
    </row>
    <row r="165">
      <c r="G165" s="157"/>
    </row>
    <row r="166">
      <c r="G166" s="157"/>
    </row>
    <row r="167">
      <c r="G167" s="157"/>
    </row>
    <row r="168">
      <c r="G168" s="157"/>
    </row>
    <row r="169">
      <c r="G169" s="157"/>
    </row>
    <row r="170">
      <c r="G170" s="157"/>
    </row>
    <row r="171">
      <c r="G171" s="157"/>
    </row>
    <row r="172">
      <c r="G172" s="157"/>
    </row>
    <row r="173">
      <c r="G173" s="157"/>
    </row>
    <row r="174">
      <c r="G174" s="157"/>
    </row>
    <row r="175">
      <c r="G175" s="157"/>
    </row>
    <row r="176">
      <c r="G176" s="157"/>
    </row>
    <row r="177">
      <c r="G177" s="157"/>
    </row>
    <row r="178">
      <c r="G178" s="157"/>
    </row>
    <row r="179">
      <c r="G179" s="157"/>
    </row>
    <row r="180">
      <c r="G180" s="157"/>
    </row>
    <row r="181">
      <c r="G181" s="157"/>
    </row>
    <row r="182">
      <c r="G182" s="157"/>
    </row>
    <row r="183">
      <c r="G183" s="157"/>
    </row>
    <row r="184">
      <c r="G184" s="157"/>
    </row>
    <row r="185">
      <c r="G185" s="157"/>
    </row>
    <row r="186">
      <c r="G186" s="157"/>
    </row>
    <row r="187">
      <c r="G187" s="157"/>
    </row>
    <row r="188">
      <c r="G188" s="157"/>
    </row>
    <row r="189">
      <c r="G189" s="157"/>
    </row>
    <row r="190">
      <c r="G190" s="157"/>
    </row>
    <row r="191">
      <c r="G191" s="157"/>
    </row>
    <row r="192">
      <c r="G192" s="157"/>
    </row>
    <row r="193">
      <c r="G193" s="157"/>
    </row>
    <row r="194">
      <c r="G194" s="157"/>
    </row>
    <row r="195">
      <c r="G195" s="157"/>
    </row>
    <row r="196">
      <c r="G196" s="157"/>
    </row>
    <row r="197">
      <c r="G197" s="157"/>
    </row>
    <row r="198">
      <c r="G198" s="157"/>
    </row>
    <row r="199">
      <c r="G199" s="157"/>
    </row>
    <row r="200">
      <c r="G200" s="157"/>
    </row>
    <row r="201">
      <c r="G201" s="157"/>
    </row>
    <row r="202">
      <c r="G202" s="157"/>
    </row>
    <row r="203">
      <c r="G203" s="157"/>
    </row>
    <row r="204">
      <c r="G204" s="157"/>
    </row>
    <row r="205">
      <c r="G205" s="157"/>
    </row>
    <row r="206">
      <c r="G206" s="157"/>
    </row>
    <row r="207">
      <c r="G207" s="157"/>
    </row>
    <row r="208">
      <c r="G208" s="157"/>
    </row>
    <row r="209">
      <c r="G209" s="157"/>
    </row>
    <row r="210">
      <c r="G210" s="157"/>
    </row>
    <row r="211">
      <c r="G211" s="157"/>
    </row>
    <row r="212">
      <c r="G212" s="157"/>
    </row>
    <row r="213">
      <c r="G213" s="157"/>
    </row>
    <row r="214">
      <c r="G214" s="157"/>
    </row>
    <row r="215">
      <c r="G215" s="157"/>
    </row>
    <row r="216">
      <c r="G216" s="157"/>
    </row>
    <row r="217">
      <c r="G217" s="157"/>
    </row>
    <row r="218">
      <c r="G218" s="157"/>
    </row>
    <row r="219">
      <c r="G219" s="157"/>
    </row>
    <row r="220">
      <c r="G220" s="157"/>
    </row>
    <row r="221">
      <c r="G221" s="157"/>
    </row>
    <row r="222">
      <c r="G222" s="157"/>
    </row>
    <row r="223">
      <c r="G223" s="157"/>
    </row>
    <row r="224">
      <c r="G224" s="157"/>
    </row>
    <row r="225">
      <c r="G225" s="157"/>
    </row>
    <row r="226">
      <c r="G226" s="157"/>
    </row>
    <row r="227">
      <c r="G227" s="157"/>
    </row>
    <row r="228">
      <c r="G228" s="157"/>
    </row>
    <row r="229">
      <c r="G229" s="157"/>
    </row>
    <row r="230">
      <c r="G230" s="157"/>
    </row>
    <row r="231">
      <c r="G231" s="157"/>
    </row>
    <row r="232">
      <c r="G232" s="157"/>
    </row>
    <row r="233">
      <c r="G233" s="157"/>
    </row>
    <row r="234">
      <c r="G234" s="157"/>
    </row>
    <row r="235">
      <c r="G235" s="157"/>
    </row>
    <row r="236">
      <c r="G236" s="157"/>
    </row>
    <row r="237">
      <c r="G237" s="157"/>
    </row>
    <row r="238">
      <c r="G238" s="157"/>
    </row>
    <row r="239">
      <c r="G239" s="157"/>
    </row>
    <row r="240">
      <c r="G240" s="157"/>
    </row>
    <row r="241">
      <c r="G241" s="157"/>
    </row>
    <row r="242">
      <c r="G242" s="157"/>
    </row>
    <row r="243">
      <c r="G243" s="157"/>
    </row>
    <row r="244">
      <c r="G244" s="157"/>
    </row>
    <row r="245">
      <c r="G245" s="157"/>
    </row>
    <row r="246">
      <c r="G246" s="157"/>
    </row>
    <row r="247">
      <c r="G247" s="157"/>
    </row>
    <row r="248">
      <c r="G248" s="157"/>
    </row>
    <row r="249">
      <c r="G249" s="157"/>
    </row>
    <row r="250">
      <c r="G250" s="157"/>
    </row>
    <row r="251">
      <c r="G251" s="157"/>
    </row>
    <row r="252">
      <c r="G252" s="157"/>
    </row>
    <row r="253">
      <c r="G253" s="157"/>
    </row>
    <row r="254">
      <c r="G254" s="157"/>
    </row>
    <row r="255">
      <c r="G255" s="157"/>
    </row>
    <row r="256">
      <c r="G256" s="157"/>
    </row>
    <row r="257">
      <c r="G257" s="157"/>
    </row>
    <row r="258">
      <c r="G258" s="157"/>
    </row>
    <row r="259">
      <c r="G259" s="157"/>
    </row>
    <row r="260">
      <c r="G260" s="157"/>
    </row>
    <row r="261">
      <c r="G261" s="157"/>
    </row>
    <row r="262">
      <c r="G262" s="157"/>
    </row>
    <row r="263">
      <c r="G263" s="157"/>
    </row>
    <row r="264">
      <c r="G264" s="157"/>
    </row>
    <row r="265">
      <c r="G265" s="157"/>
    </row>
    <row r="266">
      <c r="G266" s="157"/>
    </row>
    <row r="267">
      <c r="G267" s="157"/>
    </row>
    <row r="268">
      <c r="G268" s="157"/>
    </row>
    <row r="269">
      <c r="G269" s="157"/>
    </row>
    <row r="270">
      <c r="G270" s="157"/>
    </row>
    <row r="271">
      <c r="G271" s="157"/>
    </row>
    <row r="272">
      <c r="G272" s="157"/>
    </row>
    <row r="273">
      <c r="G273" s="157"/>
    </row>
    <row r="274">
      <c r="G274" s="157"/>
    </row>
    <row r="275">
      <c r="G275" s="157"/>
    </row>
    <row r="276">
      <c r="G276" s="157"/>
    </row>
    <row r="277">
      <c r="G277" s="157"/>
    </row>
    <row r="278">
      <c r="G278" s="157"/>
    </row>
    <row r="279">
      <c r="G279" s="157"/>
    </row>
    <row r="280">
      <c r="G280" s="157"/>
    </row>
    <row r="281">
      <c r="G281" s="157"/>
    </row>
    <row r="282">
      <c r="G282" s="157"/>
    </row>
    <row r="283">
      <c r="G283" s="157"/>
    </row>
    <row r="284">
      <c r="G284" s="157"/>
    </row>
    <row r="285">
      <c r="G285" s="157"/>
    </row>
    <row r="286">
      <c r="G286" s="157"/>
    </row>
    <row r="287">
      <c r="G287" s="157"/>
    </row>
    <row r="288">
      <c r="G288" s="157"/>
    </row>
    <row r="289">
      <c r="G289" s="157"/>
    </row>
    <row r="290">
      <c r="G290" s="157"/>
    </row>
    <row r="291">
      <c r="G291" s="157"/>
    </row>
    <row r="292">
      <c r="G292" s="157"/>
    </row>
    <row r="293">
      <c r="G293" s="157"/>
    </row>
    <row r="294">
      <c r="G294" s="157"/>
    </row>
    <row r="295">
      <c r="G295" s="157"/>
    </row>
    <row r="296">
      <c r="G296" s="157"/>
    </row>
    <row r="297">
      <c r="G297" s="157"/>
    </row>
    <row r="298">
      <c r="G298" s="157"/>
    </row>
    <row r="299">
      <c r="G299" s="157"/>
    </row>
    <row r="300">
      <c r="G300" s="157"/>
    </row>
    <row r="301">
      <c r="G301" s="157"/>
    </row>
    <row r="302">
      <c r="G302" s="157"/>
    </row>
    <row r="303">
      <c r="G303" s="157"/>
    </row>
    <row r="304">
      <c r="G304" s="157"/>
    </row>
    <row r="305">
      <c r="G305" s="157"/>
    </row>
    <row r="306">
      <c r="G306" s="157"/>
    </row>
    <row r="307">
      <c r="G307" s="157"/>
    </row>
    <row r="308">
      <c r="G308" s="157"/>
    </row>
    <row r="309">
      <c r="G309" s="157"/>
    </row>
    <row r="310">
      <c r="G310" s="157"/>
    </row>
    <row r="311">
      <c r="G311" s="157"/>
    </row>
    <row r="312">
      <c r="G312" s="157"/>
    </row>
    <row r="313">
      <c r="G313" s="157"/>
    </row>
    <row r="314">
      <c r="G314" s="157"/>
    </row>
    <row r="315">
      <c r="G315" s="157"/>
    </row>
    <row r="316">
      <c r="G316" s="157"/>
    </row>
    <row r="317">
      <c r="G317" s="157"/>
    </row>
    <row r="318">
      <c r="G318" s="157"/>
    </row>
    <row r="319">
      <c r="G319" s="157"/>
    </row>
    <row r="320">
      <c r="G320" s="157"/>
    </row>
    <row r="321">
      <c r="G321" s="157"/>
    </row>
    <row r="322">
      <c r="G322" s="157"/>
    </row>
    <row r="323">
      <c r="G323" s="157"/>
    </row>
    <row r="324">
      <c r="G324" s="157"/>
    </row>
    <row r="325">
      <c r="G325" s="157"/>
    </row>
    <row r="326">
      <c r="G326" s="157"/>
    </row>
    <row r="327">
      <c r="G327" s="157"/>
    </row>
    <row r="328">
      <c r="G328" s="157"/>
    </row>
    <row r="329">
      <c r="G329" s="157"/>
    </row>
    <row r="330">
      <c r="G330" s="157"/>
    </row>
    <row r="331">
      <c r="G331" s="157"/>
    </row>
    <row r="332">
      <c r="G332" s="157"/>
    </row>
    <row r="333">
      <c r="G333" s="157"/>
    </row>
    <row r="334">
      <c r="G334" s="157"/>
    </row>
    <row r="335">
      <c r="G335" s="157"/>
    </row>
    <row r="336">
      <c r="G336" s="157"/>
    </row>
    <row r="337">
      <c r="G337" s="157"/>
    </row>
    <row r="338">
      <c r="G338" s="157"/>
    </row>
    <row r="339">
      <c r="G339" s="157"/>
    </row>
    <row r="340">
      <c r="G340" s="157"/>
    </row>
    <row r="341">
      <c r="G341" s="157"/>
    </row>
    <row r="342">
      <c r="G342" s="157"/>
    </row>
    <row r="343">
      <c r="G343" s="157"/>
    </row>
    <row r="344">
      <c r="G344" s="157"/>
    </row>
    <row r="345">
      <c r="G345" s="157"/>
    </row>
    <row r="346">
      <c r="G346" s="157"/>
    </row>
    <row r="347">
      <c r="G347" s="157"/>
    </row>
    <row r="348">
      <c r="G348" s="157"/>
    </row>
    <row r="349">
      <c r="G349" s="157"/>
    </row>
    <row r="350">
      <c r="G350" s="157"/>
    </row>
    <row r="351">
      <c r="G351" s="157"/>
    </row>
    <row r="352">
      <c r="G352" s="157"/>
    </row>
    <row r="353">
      <c r="G353" s="157"/>
    </row>
    <row r="354">
      <c r="G354" s="157"/>
    </row>
    <row r="355">
      <c r="G355" s="157"/>
    </row>
    <row r="356">
      <c r="G356" s="157"/>
    </row>
    <row r="357">
      <c r="G357" s="157"/>
    </row>
    <row r="358">
      <c r="G358" s="157"/>
    </row>
    <row r="359">
      <c r="G359" s="157"/>
    </row>
    <row r="360">
      <c r="G360" s="157"/>
    </row>
    <row r="361">
      <c r="G361" s="157"/>
    </row>
    <row r="362">
      <c r="G362" s="157"/>
    </row>
    <row r="363">
      <c r="G363" s="157"/>
    </row>
    <row r="364">
      <c r="G364" s="157"/>
    </row>
    <row r="365">
      <c r="G365" s="157"/>
    </row>
    <row r="366">
      <c r="G366" s="157"/>
    </row>
    <row r="367">
      <c r="G367" s="157"/>
    </row>
    <row r="368">
      <c r="G368" s="157"/>
    </row>
    <row r="369">
      <c r="G369" s="157"/>
    </row>
    <row r="370">
      <c r="G370" s="157"/>
    </row>
    <row r="371">
      <c r="G371" s="157"/>
    </row>
    <row r="372">
      <c r="G372" s="157"/>
    </row>
    <row r="373">
      <c r="G373" s="157"/>
    </row>
    <row r="374">
      <c r="G374" s="157"/>
    </row>
    <row r="375">
      <c r="G375" s="157"/>
    </row>
    <row r="376">
      <c r="G376" s="157"/>
    </row>
    <row r="377">
      <c r="G377" s="157"/>
    </row>
    <row r="378">
      <c r="G378" s="157"/>
    </row>
    <row r="379">
      <c r="G379" s="157"/>
    </row>
    <row r="380">
      <c r="G380" s="157"/>
    </row>
    <row r="381">
      <c r="G381" s="157"/>
    </row>
    <row r="382">
      <c r="G382" s="157"/>
    </row>
    <row r="383">
      <c r="G383" s="157"/>
    </row>
    <row r="384">
      <c r="G384" s="157"/>
    </row>
    <row r="385">
      <c r="G385" s="157"/>
    </row>
    <row r="386">
      <c r="G386" s="157"/>
    </row>
    <row r="387">
      <c r="G387" s="157"/>
    </row>
    <row r="388">
      <c r="G388" s="157"/>
    </row>
    <row r="389">
      <c r="G389" s="157"/>
    </row>
    <row r="390">
      <c r="G390" s="157"/>
    </row>
    <row r="391">
      <c r="G391" s="157"/>
    </row>
    <row r="392">
      <c r="G392" s="157"/>
    </row>
    <row r="393">
      <c r="G393" s="157"/>
    </row>
    <row r="394">
      <c r="G394" s="157"/>
    </row>
    <row r="395">
      <c r="G395" s="157"/>
    </row>
    <row r="396">
      <c r="G396" s="157"/>
    </row>
    <row r="397">
      <c r="G397" s="157"/>
    </row>
    <row r="398">
      <c r="G398" s="157"/>
    </row>
    <row r="399">
      <c r="G399" s="157"/>
    </row>
    <row r="400">
      <c r="G400" s="157"/>
    </row>
    <row r="401">
      <c r="G401" s="157"/>
    </row>
    <row r="402">
      <c r="G402" s="157"/>
    </row>
    <row r="403">
      <c r="G403" s="157"/>
    </row>
    <row r="404">
      <c r="G404" s="157"/>
    </row>
    <row r="405">
      <c r="G405" s="157"/>
    </row>
    <row r="406">
      <c r="G406" s="157"/>
    </row>
    <row r="407">
      <c r="G407" s="157"/>
    </row>
    <row r="408">
      <c r="G408" s="157"/>
    </row>
    <row r="409">
      <c r="G409" s="157"/>
    </row>
    <row r="410">
      <c r="G410" s="157"/>
    </row>
    <row r="411">
      <c r="G411" s="157"/>
    </row>
    <row r="412">
      <c r="G412" s="157"/>
    </row>
    <row r="413">
      <c r="G413" s="157"/>
    </row>
    <row r="414">
      <c r="G414" s="157"/>
    </row>
    <row r="415">
      <c r="G415" s="157"/>
    </row>
    <row r="416">
      <c r="G416" s="157"/>
    </row>
    <row r="417">
      <c r="G417" s="157"/>
    </row>
    <row r="418">
      <c r="G418" s="157"/>
    </row>
    <row r="419">
      <c r="G419" s="157"/>
    </row>
    <row r="420">
      <c r="G420" s="157"/>
    </row>
    <row r="421">
      <c r="G421" s="157"/>
    </row>
    <row r="422">
      <c r="G422" s="157"/>
    </row>
    <row r="423">
      <c r="G423" s="157"/>
    </row>
    <row r="424">
      <c r="G424" s="157"/>
    </row>
    <row r="425">
      <c r="G425" s="157"/>
    </row>
    <row r="426">
      <c r="G426" s="157"/>
    </row>
    <row r="427">
      <c r="G427" s="157"/>
    </row>
    <row r="428">
      <c r="G428" s="157"/>
    </row>
    <row r="429">
      <c r="G429" s="157"/>
    </row>
    <row r="430">
      <c r="G430" s="157"/>
    </row>
    <row r="431">
      <c r="G431" s="157"/>
    </row>
    <row r="432">
      <c r="G432" s="157"/>
    </row>
    <row r="433">
      <c r="G433" s="157"/>
    </row>
    <row r="434">
      <c r="G434" s="157"/>
    </row>
    <row r="435">
      <c r="G435" s="157"/>
    </row>
    <row r="436">
      <c r="G436" s="157"/>
    </row>
    <row r="437">
      <c r="G437" s="157"/>
    </row>
    <row r="438">
      <c r="G438" s="157"/>
    </row>
    <row r="439">
      <c r="G439" s="157"/>
    </row>
    <row r="440">
      <c r="G440" s="157"/>
    </row>
    <row r="441">
      <c r="G441" s="157"/>
    </row>
    <row r="442">
      <c r="G442" s="157"/>
    </row>
    <row r="443">
      <c r="G443" s="157"/>
    </row>
    <row r="444">
      <c r="G444" s="157"/>
    </row>
    <row r="445">
      <c r="G445" s="157"/>
    </row>
    <row r="446">
      <c r="G446" s="157"/>
    </row>
    <row r="447">
      <c r="G447" s="157"/>
    </row>
    <row r="448">
      <c r="G448" s="157"/>
    </row>
    <row r="449">
      <c r="G449" s="157"/>
    </row>
    <row r="450">
      <c r="G450" s="157"/>
    </row>
    <row r="451">
      <c r="G451" s="157"/>
    </row>
    <row r="452">
      <c r="G452" s="157"/>
    </row>
    <row r="453">
      <c r="G453" s="157"/>
    </row>
    <row r="454">
      <c r="G454" s="157"/>
    </row>
    <row r="455">
      <c r="G455" s="157"/>
    </row>
    <row r="456">
      <c r="G456" s="157"/>
    </row>
    <row r="457">
      <c r="G457" s="157"/>
    </row>
    <row r="458">
      <c r="G458" s="157"/>
    </row>
    <row r="459">
      <c r="G459" s="157"/>
    </row>
    <row r="460">
      <c r="G460" s="157"/>
    </row>
    <row r="461">
      <c r="G461" s="157"/>
    </row>
    <row r="462">
      <c r="G462" s="157"/>
    </row>
    <row r="463">
      <c r="G463" s="157"/>
    </row>
    <row r="464">
      <c r="G464" s="157"/>
    </row>
    <row r="465">
      <c r="G465" s="157"/>
    </row>
    <row r="466">
      <c r="G466" s="157"/>
    </row>
    <row r="467">
      <c r="G467" s="157"/>
    </row>
    <row r="468">
      <c r="G468" s="157"/>
    </row>
    <row r="469">
      <c r="G469" s="157"/>
    </row>
    <row r="470">
      <c r="G470" s="157"/>
    </row>
    <row r="471">
      <c r="G471" s="157"/>
    </row>
    <row r="472">
      <c r="G472" s="157"/>
    </row>
    <row r="473">
      <c r="G473" s="157"/>
    </row>
    <row r="474">
      <c r="G474" s="157"/>
    </row>
    <row r="475">
      <c r="G475" s="157"/>
    </row>
    <row r="476">
      <c r="G476" s="157"/>
    </row>
    <row r="477">
      <c r="G477" s="157"/>
    </row>
    <row r="478">
      <c r="G478" s="157"/>
    </row>
    <row r="479">
      <c r="G479" s="157"/>
    </row>
    <row r="480">
      <c r="G480" s="157"/>
    </row>
    <row r="481">
      <c r="G481" s="157"/>
    </row>
    <row r="482">
      <c r="G482" s="157"/>
    </row>
    <row r="483">
      <c r="G483" s="157"/>
    </row>
    <row r="484">
      <c r="G484" s="157"/>
    </row>
    <row r="485">
      <c r="G485" s="157"/>
    </row>
    <row r="486">
      <c r="G486" s="157"/>
    </row>
    <row r="487">
      <c r="G487" s="157"/>
    </row>
    <row r="488">
      <c r="G488" s="157"/>
    </row>
    <row r="489">
      <c r="G489" s="157"/>
    </row>
    <row r="490">
      <c r="G490" s="157"/>
    </row>
    <row r="491">
      <c r="G491" s="157"/>
    </row>
    <row r="492">
      <c r="G492" s="157"/>
    </row>
    <row r="493">
      <c r="G493" s="157"/>
    </row>
    <row r="494">
      <c r="G494" s="157"/>
    </row>
    <row r="495">
      <c r="G495" s="157"/>
    </row>
    <row r="496">
      <c r="G496" s="157"/>
    </row>
    <row r="497">
      <c r="G497" s="157"/>
    </row>
    <row r="498">
      <c r="G498" s="157"/>
    </row>
    <row r="499">
      <c r="G499" s="157"/>
    </row>
    <row r="500">
      <c r="G500" s="157"/>
    </row>
    <row r="501">
      <c r="G501" s="157"/>
    </row>
    <row r="502">
      <c r="G502" s="157"/>
    </row>
    <row r="503">
      <c r="G503" s="157"/>
    </row>
    <row r="504">
      <c r="G504" s="157"/>
    </row>
    <row r="505">
      <c r="G505" s="157"/>
    </row>
    <row r="506">
      <c r="G506" s="157"/>
    </row>
    <row r="507">
      <c r="G507" s="157"/>
    </row>
    <row r="508">
      <c r="G508" s="157"/>
    </row>
    <row r="509">
      <c r="G509" s="157"/>
    </row>
    <row r="510">
      <c r="G510" s="157"/>
    </row>
    <row r="511">
      <c r="G511" s="157"/>
    </row>
    <row r="512">
      <c r="G512" s="157"/>
    </row>
    <row r="513">
      <c r="G513" s="157"/>
    </row>
    <row r="514">
      <c r="G514" s="157"/>
    </row>
    <row r="515">
      <c r="G515" s="157"/>
    </row>
    <row r="516">
      <c r="G516" s="157"/>
    </row>
    <row r="517">
      <c r="G517" s="157"/>
    </row>
    <row r="518">
      <c r="G518" s="157"/>
    </row>
    <row r="519">
      <c r="G519" s="157"/>
    </row>
    <row r="520">
      <c r="G520" s="157"/>
    </row>
    <row r="521">
      <c r="G521" s="157"/>
    </row>
    <row r="522">
      <c r="G522" s="157"/>
    </row>
    <row r="523">
      <c r="G523" s="157"/>
    </row>
    <row r="524">
      <c r="G524" s="157"/>
    </row>
    <row r="525">
      <c r="G525" s="157"/>
    </row>
    <row r="526">
      <c r="G526" s="157"/>
    </row>
    <row r="527">
      <c r="G527" s="157"/>
    </row>
    <row r="528">
      <c r="G528" s="157"/>
    </row>
    <row r="529">
      <c r="G529" s="157"/>
    </row>
    <row r="530">
      <c r="G530" s="157"/>
    </row>
    <row r="531">
      <c r="G531" s="157"/>
    </row>
    <row r="532">
      <c r="G532" s="157"/>
    </row>
    <row r="533">
      <c r="G533" s="157"/>
    </row>
    <row r="534">
      <c r="G534" s="157"/>
    </row>
    <row r="535">
      <c r="G535" s="157"/>
    </row>
    <row r="536">
      <c r="G536" s="157"/>
    </row>
    <row r="537">
      <c r="G537" s="157"/>
    </row>
    <row r="538">
      <c r="G538" s="157"/>
    </row>
    <row r="539">
      <c r="G539" s="157"/>
    </row>
    <row r="540">
      <c r="G540" s="157"/>
    </row>
    <row r="541">
      <c r="G541" s="157"/>
    </row>
    <row r="542">
      <c r="G542" s="157"/>
    </row>
    <row r="543">
      <c r="G543" s="157"/>
    </row>
    <row r="544">
      <c r="G544" s="157"/>
    </row>
    <row r="545">
      <c r="G545" s="157"/>
    </row>
    <row r="546">
      <c r="G546" s="157"/>
    </row>
    <row r="547">
      <c r="G547" s="157"/>
    </row>
    <row r="548">
      <c r="G548" s="157"/>
    </row>
    <row r="549">
      <c r="G549" s="157"/>
    </row>
    <row r="550">
      <c r="G550" s="157"/>
    </row>
    <row r="551">
      <c r="G551" s="157"/>
    </row>
    <row r="552">
      <c r="G552" s="157"/>
    </row>
    <row r="553">
      <c r="G553" s="157"/>
    </row>
    <row r="554">
      <c r="G554" s="157"/>
    </row>
    <row r="555">
      <c r="G555" s="157"/>
    </row>
    <row r="556">
      <c r="G556" s="157"/>
    </row>
    <row r="557">
      <c r="G557" s="157"/>
    </row>
    <row r="558">
      <c r="G558" s="157"/>
    </row>
    <row r="559">
      <c r="G559" s="157"/>
    </row>
    <row r="560">
      <c r="G560" s="157"/>
    </row>
    <row r="561">
      <c r="G561" s="157"/>
    </row>
    <row r="562">
      <c r="G562" s="157"/>
    </row>
    <row r="563">
      <c r="G563" s="157"/>
    </row>
    <row r="564">
      <c r="G564" s="157"/>
    </row>
    <row r="565">
      <c r="G565" s="157"/>
    </row>
    <row r="566">
      <c r="G566" s="157"/>
    </row>
    <row r="567">
      <c r="G567" s="157"/>
    </row>
    <row r="568">
      <c r="G568" s="157"/>
    </row>
    <row r="569">
      <c r="G569" s="157"/>
    </row>
    <row r="570">
      <c r="G570" s="157"/>
    </row>
    <row r="571">
      <c r="G571" s="157"/>
    </row>
    <row r="572">
      <c r="G572" s="157"/>
    </row>
    <row r="573">
      <c r="G573" s="157"/>
    </row>
    <row r="574">
      <c r="G574" s="157"/>
    </row>
    <row r="575">
      <c r="G575" s="157"/>
    </row>
    <row r="576">
      <c r="G576" s="157"/>
    </row>
    <row r="577">
      <c r="G577" s="157"/>
    </row>
    <row r="578">
      <c r="G578" s="157"/>
    </row>
    <row r="579">
      <c r="G579" s="157"/>
    </row>
    <row r="580">
      <c r="G580" s="157"/>
    </row>
    <row r="581">
      <c r="G581" s="157"/>
    </row>
    <row r="582">
      <c r="G582" s="157"/>
    </row>
    <row r="583">
      <c r="G583" s="157"/>
    </row>
    <row r="584">
      <c r="G584" s="157"/>
    </row>
    <row r="585">
      <c r="G585" s="157"/>
    </row>
    <row r="586">
      <c r="G586" s="157"/>
    </row>
    <row r="587">
      <c r="G587" s="157"/>
    </row>
    <row r="588">
      <c r="G588" s="157"/>
    </row>
    <row r="589">
      <c r="G589" s="157"/>
    </row>
    <row r="590">
      <c r="G590" s="157"/>
    </row>
    <row r="591">
      <c r="G591" s="157"/>
    </row>
    <row r="592">
      <c r="G592" s="157"/>
    </row>
    <row r="593">
      <c r="G593" s="157"/>
    </row>
    <row r="594">
      <c r="G594" s="157"/>
    </row>
    <row r="595">
      <c r="G595" s="157"/>
    </row>
    <row r="596">
      <c r="G596" s="157"/>
    </row>
    <row r="597">
      <c r="G597" s="157"/>
    </row>
    <row r="598">
      <c r="G598" s="157"/>
    </row>
    <row r="599">
      <c r="G599" s="157"/>
    </row>
    <row r="600">
      <c r="G600" s="157"/>
    </row>
    <row r="601">
      <c r="G601" s="157"/>
    </row>
    <row r="602">
      <c r="G602" s="157"/>
    </row>
    <row r="603">
      <c r="G603" s="157"/>
    </row>
    <row r="604">
      <c r="G604" s="157"/>
    </row>
    <row r="605">
      <c r="G605" s="157"/>
    </row>
    <row r="606">
      <c r="G606" s="157"/>
    </row>
    <row r="607">
      <c r="G607" s="157"/>
    </row>
    <row r="608">
      <c r="G608" s="157"/>
    </row>
    <row r="609">
      <c r="G609" s="157"/>
    </row>
    <row r="610">
      <c r="G610" s="157"/>
    </row>
    <row r="611">
      <c r="G611" s="157"/>
    </row>
    <row r="612">
      <c r="G612" s="157"/>
    </row>
    <row r="613">
      <c r="G613" s="157"/>
    </row>
    <row r="614">
      <c r="G614" s="157"/>
    </row>
    <row r="615">
      <c r="G615" s="157"/>
    </row>
    <row r="616">
      <c r="G616" s="157"/>
    </row>
    <row r="617">
      <c r="G617" s="157"/>
    </row>
    <row r="618">
      <c r="G618" s="157"/>
    </row>
    <row r="619">
      <c r="G619" s="157"/>
    </row>
    <row r="620">
      <c r="G620" s="157"/>
    </row>
    <row r="621">
      <c r="G621" s="157"/>
    </row>
    <row r="622">
      <c r="G622" s="157"/>
    </row>
    <row r="623">
      <c r="G623" s="157"/>
    </row>
    <row r="624">
      <c r="G624" s="157"/>
    </row>
    <row r="625">
      <c r="G625" s="157"/>
    </row>
    <row r="626">
      <c r="G626" s="157"/>
    </row>
    <row r="627">
      <c r="G627" s="157"/>
    </row>
    <row r="628">
      <c r="G628" s="157"/>
    </row>
    <row r="629">
      <c r="G629" s="157"/>
    </row>
    <row r="630">
      <c r="G630" s="157"/>
    </row>
    <row r="631">
      <c r="G631" s="157"/>
    </row>
    <row r="632">
      <c r="G632" s="157"/>
    </row>
    <row r="633">
      <c r="G633" s="157"/>
    </row>
    <row r="634">
      <c r="G634" s="157"/>
    </row>
    <row r="635">
      <c r="G635" s="157"/>
    </row>
    <row r="636">
      <c r="G636" s="157"/>
    </row>
    <row r="637">
      <c r="G637" s="157"/>
    </row>
    <row r="638">
      <c r="G638" s="157"/>
    </row>
    <row r="639">
      <c r="G639" s="157"/>
    </row>
    <row r="640">
      <c r="G640" s="157"/>
    </row>
    <row r="641">
      <c r="G641" s="157"/>
    </row>
    <row r="642">
      <c r="G642" s="157"/>
    </row>
    <row r="643">
      <c r="G643" s="157"/>
    </row>
    <row r="644">
      <c r="G644" s="157"/>
    </row>
    <row r="645">
      <c r="G645" s="157"/>
    </row>
    <row r="646">
      <c r="G646" s="157"/>
    </row>
    <row r="647">
      <c r="G647" s="157"/>
    </row>
    <row r="648">
      <c r="G648" s="157"/>
    </row>
    <row r="649">
      <c r="G649" s="157"/>
    </row>
    <row r="650">
      <c r="G650" s="157"/>
    </row>
    <row r="651">
      <c r="G651" s="157"/>
    </row>
    <row r="652">
      <c r="G652" s="157"/>
    </row>
    <row r="653">
      <c r="G653" s="157"/>
    </row>
    <row r="654">
      <c r="G654" s="157"/>
    </row>
    <row r="655">
      <c r="G655" s="157"/>
    </row>
    <row r="656">
      <c r="G656" s="157"/>
    </row>
    <row r="657">
      <c r="G657" s="157"/>
    </row>
    <row r="658">
      <c r="G658" s="157"/>
    </row>
    <row r="659">
      <c r="G659" s="157"/>
    </row>
    <row r="660">
      <c r="G660" s="157"/>
    </row>
    <row r="661">
      <c r="G661" s="157"/>
    </row>
    <row r="662">
      <c r="G662" s="157"/>
    </row>
    <row r="663">
      <c r="G663" s="157"/>
    </row>
    <row r="664">
      <c r="G664" s="157"/>
    </row>
    <row r="665">
      <c r="G665" s="157"/>
    </row>
    <row r="666">
      <c r="G666" s="157"/>
    </row>
    <row r="667">
      <c r="G667" s="157"/>
    </row>
    <row r="668">
      <c r="G668" s="157"/>
    </row>
    <row r="669">
      <c r="G669" s="157"/>
    </row>
    <row r="670">
      <c r="G670" s="157"/>
    </row>
    <row r="671">
      <c r="G671" s="157"/>
    </row>
    <row r="672">
      <c r="G672" s="157"/>
    </row>
    <row r="673">
      <c r="G673" s="157"/>
    </row>
    <row r="674">
      <c r="G674" s="157"/>
    </row>
    <row r="675">
      <c r="G675" s="157"/>
    </row>
    <row r="676">
      <c r="G676" s="157"/>
    </row>
    <row r="677">
      <c r="G677" s="157"/>
    </row>
    <row r="678">
      <c r="G678" s="157"/>
    </row>
    <row r="679">
      <c r="G679" s="157"/>
    </row>
    <row r="680">
      <c r="G680" s="157"/>
    </row>
    <row r="681">
      <c r="G681" s="157"/>
    </row>
    <row r="682">
      <c r="G682" s="157"/>
    </row>
    <row r="683">
      <c r="G683" s="157"/>
    </row>
    <row r="684">
      <c r="G684" s="157"/>
    </row>
    <row r="685">
      <c r="G685" s="157"/>
    </row>
    <row r="686">
      <c r="G686" s="157"/>
    </row>
    <row r="687">
      <c r="G687" s="157"/>
    </row>
    <row r="688">
      <c r="G688" s="157"/>
    </row>
    <row r="689">
      <c r="G689" s="157"/>
    </row>
    <row r="690">
      <c r="G690" s="157"/>
    </row>
    <row r="691">
      <c r="G691" s="157"/>
    </row>
    <row r="692">
      <c r="G692" s="157"/>
    </row>
    <row r="693">
      <c r="G693" s="157"/>
    </row>
    <row r="694">
      <c r="G694" s="157"/>
    </row>
    <row r="695">
      <c r="G695" s="157"/>
    </row>
    <row r="696">
      <c r="G696" s="157"/>
    </row>
    <row r="697">
      <c r="G697" s="157"/>
    </row>
    <row r="698">
      <c r="G698" s="157"/>
    </row>
    <row r="699">
      <c r="G699" s="157"/>
    </row>
    <row r="700">
      <c r="G700" s="157"/>
    </row>
    <row r="701">
      <c r="G701" s="157"/>
    </row>
    <row r="702">
      <c r="G702" s="157"/>
    </row>
    <row r="703">
      <c r="G703" s="157"/>
    </row>
    <row r="704">
      <c r="G704" s="157"/>
    </row>
    <row r="705">
      <c r="G705" s="157"/>
    </row>
    <row r="706">
      <c r="G706" s="157"/>
    </row>
    <row r="707">
      <c r="G707" s="157"/>
    </row>
    <row r="708">
      <c r="G708" s="157"/>
    </row>
    <row r="709">
      <c r="G709" s="157"/>
    </row>
    <row r="710">
      <c r="G710" s="157"/>
    </row>
    <row r="711">
      <c r="G711" s="157"/>
    </row>
    <row r="712">
      <c r="G712" s="157"/>
    </row>
    <row r="713">
      <c r="G713" s="157"/>
    </row>
    <row r="714">
      <c r="G714" s="157"/>
    </row>
    <row r="715">
      <c r="G715" s="157"/>
    </row>
    <row r="716">
      <c r="G716" s="157"/>
    </row>
    <row r="717">
      <c r="G717" s="157"/>
    </row>
    <row r="718">
      <c r="G718" s="157"/>
    </row>
    <row r="719">
      <c r="G719" s="157"/>
    </row>
    <row r="720">
      <c r="G720" s="157"/>
    </row>
    <row r="721">
      <c r="G721" s="157"/>
    </row>
    <row r="722">
      <c r="G722" s="157"/>
    </row>
    <row r="723">
      <c r="G723" s="157"/>
    </row>
    <row r="724">
      <c r="G724" s="157"/>
    </row>
    <row r="725">
      <c r="G725" s="157"/>
    </row>
    <row r="726">
      <c r="G726" s="157"/>
    </row>
    <row r="727">
      <c r="G727" s="157"/>
    </row>
    <row r="728">
      <c r="G728" s="157"/>
    </row>
    <row r="729">
      <c r="G729" s="157"/>
    </row>
    <row r="730">
      <c r="G730" s="157"/>
    </row>
    <row r="731">
      <c r="G731" s="157"/>
    </row>
    <row r="732">
      <c r="G732" s="157"/>
    </row>
    <row r="733">
      <c r="G733" s="157"/>
    </row>
    <row r="734">
      <c r="G734" s="157"/>
    </row>
    <row r="735">
      <c r="G735" s="157"/>
    </row>
    <row r="736">
      <c r="G736" s="157"/>
    </row>
    <row r="737">
      <c r="G737" s="157"/>
    </row>
    <row r="738">
      <c r="G738" s="157"/>
    </row>
    <row r="739">
      <c r="G739" s="157"/>
    </row>
    <row r="740">
      <c r="G740" s="157"/>
    </row>
    <row r="741">
      <c r="G741" s="157"/>
    </row>
    <row r="742">
      <c r="G742" s="157"/>
    </row>
    <row r="743">
      <c r="G743" s="157"/>
    </row>
    <row r="744">
      <c r="G744" s="157"/>
    </row>
    <row r="745">
      <c r="G745" s="157"/>
    </row>
    <row r="746">
      <c r="G746" s="157"/>
    </row>
    <row r="747">
      <c r="G747" s="157"/>
    </row>
    <row r="748">
      <c r="G748" s="157"/>
    </row>
    <row r="749">
      <c r="G749" s="157"/>
    </row>
    <row r="750">
      <c r="G750" s="157"/>
    </row>
    <row r="751">
      <c r="G751" s="157"/>
    </row>
    <row r="752">
      <c r="G752" s="157"/>
    </row>
    <row r="753">
      <c r="G753" s="157"/>
    </row>
    <row r="754">
      <c r="G754" s="157"/>
    </row>
    <row r="755">
      <c r="G755" s="157"/>
    </row>
    <row r="756">
      <c r="G756" s="157"/>
    </row>
    <row r="757">
      <c r="G757" s="157"/>
    </row>
    <row r="758">
      <c r="G758" s="157"/>
    </row>
    <row r="759">
      <c r="G759" s="157"/>
    </row>
    <row r="760">
      <c r="G760" s="157"/>
    </row>
    <row r="761">
      <c r="G761" s="157"/>
    </row>
    <row r="762">
      <c r="G762" s="157"/>
    </row>
    <row r="763">
      <c r="G763" s="157"/>
    </row>
    <row r="764">
      <c r="G764" s="157"/>
    </row>
    <row r="765">
      <c r="G765" s="157"/>
    </row>
    <row r="766">
      <c r="G766" s="157"/>
    </row>
    <row r="767">
      <c r="G767" s="157"/>
    </row>
    <row r="768">
      <c r="G768" s="157"/>
    </row>
    <row r="769">
      <c r="G769" s="157"/>
    </row>
    <row r="770">
      <c r="G770" s="157"/>
    </row>
    <row r="771">
      <c r="G771" s="157"/>
    </row>
    <row r="772">
      <c r="G772" s="157"/>
    </row>
    <row r="773">
      <c r="G773" s="157"/>
    </row>
    <row r="774">
      <c r="G774" s="157"/>
    </row>
    <row r="775">
      <c r="G775" s="157"/>
    </row>
    <row r="776">
      <c r="G776" s="157"/>
    </row>
    <row r="777">
      <c r="G777" s="157"/>
    </row>
    <row r="778">
      <c r="G778" s="157"/>
    </row>
    <row r="779">
      <c r="G779" s="157"/>
    </row>
    <row r="780">
      <c r="G780" s="157"/>
    </row>
    <row r="781">
      <c r="G781" s="157"/>
    </row>
    <row r="782">
      <c r="G782" s="157"/>
    </row>
    <row r="783">
      <c r="G783" s="157"/>
    </row>
    <row r="784">
      <c r="G784" s="157"/>
    </row>
    <row r="785">
      <c r="G785" s="157"/>
    </row>
    <row r="786">
      <c r="G786" s="157"/>
    </row>
    <row r="787">
      <c r="G787" s="157"/>
    </row>
    <row r="788">
      <c r="G788" s="157"/>
    </row>
    <row r="789">
      <c r="G789" s="157"/>
    </row>
    <row r="790">
      <c r="G790" s="157"/>
    </row>
    <row r="791">
      <c r="G791" s="157"/>
    </row>
    <row r="792">
      <c r="G792" s="157"/>
    </row>
    <row r="793">
      <c r="G793" s="157"/>
    </row>
    <row r="794">
      <c r="G794" s="157"/>
    </row>
    <row r="795">
      <c r="G795" s="157"/>
    </row>
    <row r="796">
      <c r="G796" s="157"/>
    </row>
    <row r="797">
      <c r="G797" s="157"/>
    </row>
    <row r="798">
      <c r="G798" s="157"/>
    </row>
    <row r="799">
      <c r="G799" s="157"/>
    </row>
    <row r="800">
      <c r="G800" s="157"/>
    </row>
    <row r="801">
      <c r="G801" s="157"/>
    </row>
    <row r="802">
      <c r="G802" s="157"/>
    </row>
    <row r="803">
      <c r="G803" s="157"/>
    </row>
    <row r="804">
      <c r="G804" s="157"/>
    </row>
    <row r="805">
      <c r="G805" s="157"/>
    </row>
    <row r="806">
      <c r="G806" s="157"/>
    </row>
    <row r="807">
      <c r="G807" s="157"/>
    </row>
    <row r="808">
      <c r="G808" s="157"/>
    </row>
    <row r="809">
      <c r="G809" s="157"/>
    </row>
    <row r="810">
      <c r="G810" s="157"/>
    </row>
    <row r="811">
      <c r="G811" s="157"/>
    </row>
    <row r="812">
      <c r="G812" s="157"/>
    </row>
    <row r="813">
      <c r="G813" s="157"/>
    </row>
    <row r="814">
      <c r="G814" s="157"/>
    </row>
    <row r="815">
      <c r="G815" s="157"/>
    </row>
    <row r="816">
      <c r="G816" s="157"/>
    </row>
    <row r="817">
      <c r="G817" s="157"/>
    </row>
    <row r="818">
      <c r="G818" s="157"/>
    </row>
    <row r="819">
      <c r="G819" s="157"/>
    </row>
    <row r="820">
      <c r="G820" s="157"/>
    </row>
    <row r="821">
      <c r="G821" s="157"/>
    </row>
    <row r="822">
      <c r="G822" s="157"/>
    </row>
    <row r="823">
      <c r="G823" s="157"/>
    </row>
    <row r="824">
      <c r="G824" s="157"/>
    </row>
    <row r="825">
      <c r="G825" s="157"/>
    </row>
    <row r="826">
      <c r="G826" s="157"/>
    </row>
    <row r="827">
      <c r="G827" s="157"/>
    </row>
    <row r="828">
      <c r="G828" s="157"/>
    </row>
    <row r="829">
      <c r="G829" s="157"/>
    </row>
    <row r="830">
      <c r="G830" s="157"/>
    </row>
    <row r="831">
      <c r="G831" s="157"/>
    </row>
    <row r="832">
      <c r="G832" s="157"/>
    </row>
    <row r="833">
      <c r="G833" s="157"/>
    </row>
    <row r="834">
      <c r="G834" s="157"/>
    </row>
    <row r="835">
      <c r="G835" s="157"/>
    </row>
    <row r="836">
      <c r="G836" s="157"/>
    </row>
    <row r="837">
      <c r="G837" s="157"/>
    </row>
    <row r="838">
      <c r="G838" s="157"/>
    </row>
    <row r="839">
      <c r="G839" s="157"/>
    </row>
    <row r="840">
      <c r="G840" s="157"/>
    </row>
    <row r="841">
      <c r="G841" s="157"/>
    </row>
    <row r="842">
      <c r="G842" s="157"/>
    </row>
    <row r="843">
      <c r="G843" s="157"/>
    </row>
    <row r="844">
      <c r="G844" s="157"/>
    </row>
    <row r="845">
      <c r="G845" s="157"/>
    </row>
    <row r="846">
      <c r="G846" s="157"/>
    </row>
    <row r="847">
      <c r="G847" s="157"/>
    </row>
    <row r="848">
      <c r="G848" s="157"/>
    </row>
    <row r="849">
      <c r="G849" s="157"/>
    </row>
    <row r="850">
      <c r="G850" s="157"/>
    </row>
    <row r="851">
      <c r="G851" s="157"/>
    </row>
    <row r="852">
      <c r="G852" s="157"/>
    </row>
    <row r="853">
      <c r="G853" s="157"/>
    </row>
    <row r="854">
      <c r="G854" s="157"/>
    </row>
    <row r="855">
      <c r="G855" s="157"/>
    </row>
    <row r="856">
      <c r="G856" s="157"/>
    </row>
    <row r="857">
      <c r="G857" s="157"/>
    </row>
    <row r="858">
      <c r="G858" s="157"/>
    </row>
    <row r="859">
      <c r="G859" s="157"/>
    </row>
    <row r="860">
      <c r="G860" s="157"/>
    </row>
    <row r="861">
      <c r="G861" s="157"/>
    </row>
    <row r="862">
      <c r="G862" s="157"/>
    </row>
    <row r="863">
      <c r="G863" s="157"/>
    </row>
    <row r="864">
      <c r="G864" s="157"/>
    </row>
    <row r="865">
      <c r="G865" s="157"/>
    </row>
    <row r="866">
      <c r="G866" s="157"/>
    </row>
    <row r="867">
      <c r="G867" s="157"/>
    </row>
    <row r="868">
      <c r="G868" s="157"/>
    </row>
    <row r="869">
      <c r="G869" s="157"/>
    </row>
    <row r="870">
      <c r="G870" s="157"/>
    </row>
    <row r="871">
      <c r="G871" s="157"/>
    </row>
    <row r="872">
      <c r="G872" s="157"/>
    </row>
    <row r="873">
      <c r="G873" s="157"/>
    </row>
    <row r="874">
      <c r="G874" s="157"/>
    </row>
    <row r="875">
      <c r="G875" s="157"/>
    </row>
    <row r="876">
      <c r="G876" s="157"/>
    </row>
    <row r="877">
      <c r="G877" s="157"/>
    </row>
    <row r="878">
      <c r="G878" s="157"/>
    </row>
    <row r="879">
      <c r="G879" s="157"/>
    </row>
    <row r="880">
      <c r="G880" s="157"/>
    </row>
    <row r="881">
      <c r="G881" s="157"/>
    </row>
    <row r="882">
      <c r="G882" s="157"/>
    </row>
    <row r="883">
      <c r="G883" s="157"/>
    </row>
    <row r="884">
      <c r="G884" s="157"/>
    </row>
    <row r="885">
      <c r="G885" s="157"/>
    </row>
    <row r="886">
      <c r="G886" s="157"/>
    </row>
    <row r="887">
      <c r="G887" s="157"/>
    </row>
    <row r="888">
      <c r="G888" s="157"/>
    </row>
    <row r="889">
      <c r="G889" s="157"/>
    </row>
    <row r="890">
      <c r="G890" s="157"/>
    </row>
    <row r="891">
      <c r="G891" s="157"/>
    </row>
    <row r="892">
      <c r="G892" s="157"/>
    </row>
    <row r="893">
      <c r="G893" s="157"/>
    </row>
    <row r="894">
      <c r="G894" s="157"/>
    </row>
    <row r="895">
      <c r="G895" s="157"/>
    </row>
    <row r="896">
      <c r="G896" s="157"/>
    </row>
    <row r="897">
      <c r="G897" s="157"/>
    </row>
    <row r="898">
      <c r="G898" s="157"/>
    </row>
    <row r="899">
      <c r="G899" s="157"/>
    </row>
    <row r="900">
      <c r="G900" s="157"/>
    </row>
    <row r="901">
      <c r="G901" s="157"/>
    </row>
    <row r="902">
      <c r="G902" s="157"/>
    </row>
    <row r="903">
      <c r="G903" s="157"/>
    </row>
    <row r="904">
      <c r="G904" s="157"/>
    </row>
    <row r="905">
      <c r="G905" s="157"/>
    </row>
    <row r="906">
      <c r="G906" s="157"/>
    </row>
    <row r="907">
      <c r="G907" s="157"/>
    </row>
    <row r="908">
      <c r="G908" s="157"/>
    </row>
    <row r="909">
      <c r="G909" s="157"/>
    </row>
    <row r="910">
      <c r="G910" s="157"/>
    </row>
    <row r="911">
      <c r="G911" s="157"/>
    </row>
    <row r="912">
      <c r="G912" s="157"/>
    </row>
    <row r="913">
      <c r="G913" s="157"/>
    </row>
    <row r="914">
      <c r="G914" s="157"/>
    </row>
    <row r="915">
      <c r="G915" s="157"/>
    </row>
    <row r="916">
      <c r="G916" s="157"/>
    </row>
    <row r="917">
      <c r="G917" s="157"/>
    </row>
    <row r="918">
      <c r="G918" s="157"/>
    </row>
    <row r="919">
      <c r="G919" s="157"/>
    </row>
    <row r="920">
      <c r="G920" s="157"/>
    </row>
    <row r="921">
      <c r="G921" s="157"/>
    </row>
    <row r="922">
      <c r="G922" s="157"/>
    </row>
    <row r="923">
      <c r="G923" s="157"/>
    </row>
    <row r="924">
      <c r="G924" s="157"/>
    </row>
    <row r="925">
      <c r="G925" s="157"/>
    </row>
    <row r="926">
      <c r="G926" s="157"/>
    </row>
    <row r="927">
      <c r="G927" s="157"/>
    </row>
    <row r="928">
      <c r="G928" s="157"/>
    </row>
    <row r="929">
      <c r="G929" s="157"/>
    </row>
    <row r="930">
      <c r="G930" s="157"/>
    </row>
    <row r="931">
      <c r="G931" s="157"/>
    </row>
    <row r="932">
      <c r="G932" s="157"/>
    </row>
    <row r="933">
      <c r="G933" s="157"/>
    </row>
    <row r="934">
      <c r="G934" s="157"/>
    </row>
    <row r="935">
      <c r="G935" s="157"/>
    </row>
    <row r="936">
      <c r="G936" s="157"/>
    </row>
    <row r="937">
      <c r="G937" s="157"/>
    </row>
    <row r="938">
      <c r="G938" s="157"/>
    </row>
    <row r="939">
      <c r="G939" s="157"/>
    </row>
    <row r="940">
      <c r="G940" s="157"/>
    </row>
    <row r="941">
      <c r="G941" s="157"/>
    </row>
    <row r="942">
      <c r="G942" s="157"/>
    </row>
    <row r="943">
      <c r="G943" s="157"/>
    </row>
    <row r="944">
      <c r="G944" s="157"/>
    </row>
    <row r="945">
      <c r="G945" s="157"/>
    </row>
    <row r="946">
      <c r="G946" s="157"/>
    </row>
    <row r="947">
      <c r="G947" s="157"/>
    </row>
    <row r="948">
      <c r="G948" s="157"/>
    </row>
    <row r="949">
      <c r="G949" s="157"/>
    </row>
    <row r="950">
      <c r="G950" s="157"/>
    </row>
    <row r="951">
      <c r="G951" s="157"/>
    </row>
    <row r="952">
      <c r="G952" s="157"/>
    </row>
    <row r="953">
      <c r="G953" s="157"/>
    </row>
    <row r="954">
      <c r="G954" s="157"/>
    </row>
    <row r="955">
      <c r="G955" s="157"/>
    </row>
    <row r="956">
      <c r="G956" s="157"/>
    </row>
    <row r="957">
      <c r="G957" s="157"/>
    </row>
    <row r="958">
      <c r="G958" s="157"/>
    </row>
    <row r="959">
      <c r="G959" s="157"/>
    </row>
    <row r="960">
      <c r="G960" s="157"/>
    </row>
    <row r="961">
      <c r="G961" s="157"/>
    </row>
    <row r="962">
      <c r="G962" s="157"/>
    </row>
    <row r="963">
      <c r="G963" s="157"/>
    </row>
  </sheetData>
  <mergeCells count="1">
    <mergeCell ref="A4:J4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8.5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124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60" t="s">
        <v>125</v>
      </c>
      <c r="B4" s="161"/>
      <c r="C4" s="161"/>
      <c r="D4" s="161"/>
      <c r="E4" s="161"/>
      <c r="F4" s="161"/>
      <c r="G4" s="161"/>
      <c r="H4" s="161"/>
      <c r="I4" s="16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62" t="s">
        <v>126</v>
      </c>
      <c r="B5" s="163" t="s">
        <v>127</v>
      </c>
      <c r="C5" s="163" t="s">
        <v>128</v>
      </c>
      <c r="D5" s="163" t="s">
        <v>129</v>
      </c>
      <c r="E5" s="163" t="s">
        <v>130</v>
      </c>
      <c r="F5" s="163" t="s">
        <v>131</v>
      </c>
      <c r="G5" s="163" t="s">
        <v>132</v>
      </c>
      <c r="H5" s="163" t="s">
        <v>133</v>
      </c>
      <c r="I5" s="163" t="s">
        <v>134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4"/>
      <c r="B6" s="161"/>
      <c r="C6" s="161"/>
      <c r="D6" s="161"/>
      <c r="E6" s="161"/>
      <c r="F6" s="161"/>
      <c r="G6" s="161"/>
      <c r="H6" s="161"/>
      <c r="I6" s="165">
        <v>2654.3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6">
        <v>1.0</v>
      </c>
      <c r="B7" s="167">
        <v>45383.0</v>
      </c>
      <c r="C7" s="168" t="s">
        <v>135</v>
      </c>
      <c r="D7" s="168" t="s">
        <v>136</v>
      </c>
      <c r="E7" s="169"/>
      <c r="F7" s="169"/>
      <c r="G7" s="170">
        <v>6.0</v>
      </c>
      <c r="H7" s="171"/>
      <c r="I7" s="171">
        <f t="shared" ref="I7:I11" si="1">I6-G7+H7</f>
        <v>2648.3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6">
        <v>2.0</v>
      </c>
      <c r="B8" s="167">
        <v>45397.0</v>
      </c>
      <c r="C8" s="168" t="s">
        <v>137</v>
      </c>
      <c r="D8" s="168" t="s">
        <v>138</v>
      </c>
      <c r="E8" s="169"/>
      <c r="F8" s="169"/>
      <c r="G8" s="171">
        <v>508.54</v>
      </c>
      <c r="H8" s="171"/>
      <c r="I8" s="171">
        <f t="shared" si="1"/>
        <v>2139.76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6">
        <v>3.0</v>
      </c>
      <c r="B9" s="167">
        <v>45397.0</v>
      </c>
      <c r="C9" s="168" t="s">
        <v>139</v>
      </c>
      <c r="D9" s="168" t="s">
        <v>140</v>
      </c>
      <c r="E9" s="169"/>
      <c r="F9" s="169"/>
      <c r="G9" s="171"/>
      <c r="H9" s="171">
        <v>314.24</v>
      </c>
      <c r="I9" s="171">
        <f t="shared" si="1"/>
        <v>2454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6">
        <v>4.0</v>
      </c>
      <c r="B10" s="167">
        <v>45404.0</v>
      </c>
      <c r="C10" s="168" t="s">
        <v>141</v>
      </c>
      <c r="D10" s="168" t="s">
        <v>12</v>
      </c>
      <c r="E10" s="169"/>
      <c r="F10" s="169"/>
      <c r="G10" s="171">
        <v>583.99</v>
      </c>
      <c r="H10" s="171"/>
      <c r="I10" s="171">
        <f t="shared" si="1"/>
        <v>1870.01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6">
        <v>5.0</v>
      </c>
      <c r="B11" s="167">
        <v>45411.0</v>
      </c>
      <c r="C11" s="168" t="s">
        <v>142</v>
      </c>
      <c r="D11" s="168" t="s">
        <v>12</v>
      </c>
      <c r="E11" s="169"/>
      <c r="F11" s="169"/>
      <c r="G11" s="171">
        <v>73.9</v>
      </c>
      <c r="H11" s="171"/>
      <c r="I11" s="171">
        <f t="shared" si="1"/>
        <v>1796.11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72" t="s">
        <v>143</v>
      </c>
      <c r="B12" s="161"/>
      <c r="C12" s="161"/>
      <c r="D12" s="161"/>
      <c r="E12" s="161"/>
      <c r="F12" s="161"/>
      <c r="G12" s="161"/>
      <c r="H12" s="161"/>
      <c r="I12" s="173">
        <f>I11</f>
        <v>1796.11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59"/>
      <c r="B13" s="159"/>
      <c r="C13" s="159"/>
      <c r="D13" s="159"/>
      <c r="E13" s="159"/>
      <c r="F13" s="159"/>
      <c r="G13" s="159"/>
      <c r="H13" s="159"/>
      <c r="I13" s="15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74" t="s">
        <v>144</v>
      </c>
      <c r="B14" s="175"/>
      <c r="C14" s="175"/>
      <c r="D14" s="175"/>
      <c r="E14" s="176"/>
      <c r="F14" s="176"/>
      <c r="G14" s="176"/>
      <c r="H14" s="177"/>
      <c r="I14" s="178">
        <f>I12</f>
        <v>1796.11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179"/>
      <c r="K18" s="17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179"/>
      <c r="K19" s="17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179"/>
      <c r="K20" s="17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179"/>
      <c r="K21" s="17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179"/>
      <c r="K22" s="17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179"/>
      <c r="K23" s="17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179"/>
      <c r="K24" s="17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179"/>
      <c r="K25" s="17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179"/>
      <c r="K26" s="17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179"/>
      <c r="K27" s="17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179"/>
      <c r="K28" s="17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179"/>
      <c r="K29" s="17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179"/>
      <c r="K30" s="17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179"/>
      <c r="K31" s="17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179"/>
      <c r="K32" s="17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</sheetData>
  <mergeCells count="3">
    <mergeCell ref="A4:I4"/>
    <mergeCell ref="A6:H6"/>
    <mergeCell ref="A12:H12"/>
  </mergeCells>
  <conditionalFormatting sqref="G1:G956">
    <cfRule type="notContainsBlanks" dxfId="2" priority="1">
      <formula>LEN(TRIM(G1))&gt;0</formula>
    </cfRule>
  </conditionalFormatting>
  <dataValidations>
    <dataValidation type="list" allowBlank="1" showErrorMessage="1" sqref="D7:D11">
      <formula1>"Funding,Events,Other,Bank Fee"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124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146</v>
      </c>
      <c r="B5" s="3"/>
      <c r="C5" s="3"/>
      <c r="D5" s="3"/>
      <c r="E5" s="180"/>
      <c r="F5" s="181">
        <f>1796.11</f>
        <v>1796.11</v>
      </c>
    </row>
    <row r="6">
      <c r="A6" s="182" t="s">
        <v>147</v>
      </c>
      <c r="B6" s="183"/>
      <c r="C6" s="183"/>
      <c r="D6" s="183"/>
      <c r="E6" s="184"/>
      <c r="F6" s="185">
        <f>'Logbook 04.24'!I12</f>
        <v>1796.11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149</v>
      </c>
      <c r="B9" s="3"/>
      <c r="C9" s="3"/>
      <c r="D9" s="3"/>
      <c r="E9" s="180"/>
      <c r="F9" s="185">
        <f>1796.11</f>
        <v>1796.11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v>0.0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'Logbook 04.24'!I14</f>
        <v>1796.11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154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88" t="s">
        <v>125</v>
      </c>
      <c r="B5" s="189"/>
      <c r="C5" s="189"/>
      <c r="D5" s="189"/>
      <c r="E5" s="189"/>
      <c r="F5" s="189"/>
      <c r="G5" s="189"/>
      <c r="H5" s="189"/>
      <c r="I5" s="190"/>
      <c r="J5" s="191"/>
      <c r="K5" s="19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92" t="s">
        <v>126</v>
      </c>
      <c r="B6" s="193" t="s">
        <v>127</v>
      </c>
      <c r="C6" s="194" t="s">
        <v>128</v>
      </c>
      <c r="D6" s="194" t="s">
        <v>129</v>
      </c>
      <c r="E6" s="194" t="s">
        <v>130</v>
      </c>
      <c r="F6" s="194" t="s">
        <v>131</v>
      </c>
      <c r="G6" s="195" t="s">
        <v>132</v>
      </c>
      <c r="H6" s="196" t="s">
        <v>133</v>
      </c>
      <c r="I6" s="196" t="s">
        <v>134</v>
      </c>
      <c r="J6" s="191"/>
      <c r="K6" s="19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97"/>
      <c r="B7" s="189"/>
      <c r="C7" s="189"/>
      <c r="D7" s="189"/>
      <c r="E7" s="189"/>
      <c r="F7" s="189"/>
      <c r="G7" s="189"/>
      <c r="H7" s="190"/>
      <c r="I7" s="165">
        <f>1796.11</f>
        <v>1796.11</v>
      </c>
      <c r="J7" s="191"/>
      <c r="K7" s="19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98">
        <v>1.0</v>
      </c>
      <c r="B8" s="199">
        <v>45413.0</v>
      </c>
      <c r="C8" s="200" t="s">
        <v>135</v>
      </c>
      <c r="D8" s="201" t="s">
        <v>136</v>
      </c>
      <c r="E8" s="202"/>
      <c r="F8" s="202"/>
      <c r="G8" s="203">
        <f>6</f>
        <v>6</v>
      </c>
      <c r="H8" s="204"/>
      <c r="I8" s="171">
        <f>I7-G8+H8</f>
        <v>1790.11</v>
      </c>
      <c r="J8" s="191"/>
      <c r="K8" s="19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05" t="s">
        <v>143</v>
      </c>
      <c r="B9" s="189"/>
      <c r="C9" s="189"/>
      <c r="D9" s="189"/>
      <c r="E9" s="189"/>
      <c r="F9" s="189"/>
      <c r="G9" s="189"/>
      <c r="H9" s="190"/>
      <c r="I9" s="165">
        <f>I8-H9</f>
        <v>1790.11</v>
      </c>
      <c r="J9" s="191"/>
      <c r="K9" s="19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06"/>
      <c r="B10" s="207"/>
      <c r="C10" s="206"/>
      <c r="D10" s="206"/>
      <c r="E10" s="206"/>
      <c r="F10" s="206"/>
      <c r="G10" s="208"/>
      <c r="H10" s="208"/>
      <c r="I10" s="208"/>
      <c r="J10" s="191"/>
      <c r="K10" s="19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09" t="s">
        <v>144</v>
      </c>
      <c r="B11" s="206"/>
      <c r="C11" s="202"/>
      <c r="D11" s="202"/>
      <c r="E11" s="202"/>
      <c r="F11" s="202"/>
      <c r="G11" s="202"/>
      <c r="H11" s="202"/>
      <c r="I11" s="178">
        <f>I9</f>
        <v>1790.11</v>
      </c>
      <c r="J11" s="191"/>
      <c r="K11" s="19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155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156</v>
      </c>
      <c r="B5" s="3"/>
      <c r="C5" s="3"/>
      <c r="D5" s="3"/>
      <c r="E5" s="180"/>
      <c r="F5" s="181">
        <f>1790.11</f>
        <v>1790.11</v>
      </c>
    </row>
    <row r="6">
      <c r="A6" s="182" t="s">
        <v>157</v>
      </c>
      <c r="B6" s="183"/>
      <c r="C6" s="183"/>
      <c r="D6" s="183"/>
      <c r="E6" s="184"/>
      <c r="F6" s="185">
        <f>' Logbook 05.24'!I9</f>
        <v>1790.11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158</v>
      </c>
      <c r="B9" s="3"/>
      <c r="C9" s="3"/>
      <c r="D9" s="3"/>
      <c r="E9" s="180"/>
      <c r="F9" s="185">
        <f>1790.11</f>
        <v>1790.11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v>0.0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' Logbook 05.24'!I11</f>
        <v>1790.11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159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88" t="s">
        <v>125</v>
      </c>
      <c r="B5" s="189"/>
      <c r="C5" s="189"/>
      <c r="D5" s="189"/>
      <c r="E5" s="189"/>
      <c r="F5" s="189"/>
      <c r="G5" s="189"/>
      <c r="H5" s="189"/>
      <c r="I5" s="190"/>
      <c r="J5" s="191"/>
      <c r="K5" s="19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92" t="s">
        <v>126</v>
      </c>
      <c r="B6" s="193" t="s">
        <v>127</v>
      </c>
      <c r="C6" s="194" t="s">
        <v>128</v>
      </c>
      <c r="D6" s="194" t="s">
        <v>129</v>
      </c>
      <c r="E6" s="194" t="s">
        <v>130</v>
      </c>
      <c r="F6" s="194" t="s">
        <v>131</v>
      </c>
      <c r="G6" s="195" t="s">
        <v>132</v>
      </c>
      <c r="H6" s="196" t="s">
        <v>133</v>
      </c>
      <c r="I6" s="196" t="s">
        <v>134</v>
      </c>
      <c r="J6" s="191"/>
      <c r="K6" s="19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97"/>
      <c r="B7" s="189"/>
      <c r="C7" s="189"/>
      <c r="D7" s="189"/>
      <c r="E7" s="189"/>
      <c r="F7" s="189"/>
      <c r="G7" s="189"/>
      <c r="H7" s="190"/>
      <c r="I7" s="165">
        <f>1790.11</f>
        <v>1790.11</v>
      </c>
      <c r="J7" s="191"/>
      <c r="K7" s="19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98">
        <v>1.0</v>
      </c>
      <c r="B8" s="199">
        <v>45446.0</v>
      </c>
      <c r="C8" s="200" t="s">
        <v>135</v>
      </c>
      <c r="D8" s="201" t="s">
        <v>136</v>
      </c>
      <c r="E8" s="202"/>
      <c r="F8" s="202"/>
      <c r="G8" s="203">
        <f>6</f>
        <v>6</v>
      </c>
      <c r="H8" s="204"/>
      <c r="I8" s="204"/>
      <c r="J8" s="191"/>
      <c r="K8" s="19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05" t="s">
        <v>143</v>
      </c>
      <c r="B9" s="189"/>
      <c r="C9" s="189"/>
      <c r="D9" s="189"/>
      <c r="E9" s="189"/>
      <c r="F9" s="189"/>
      <c r="G9" s="189"/>
      <c r="H9" s="190"/>
      <c r="I9" s="165">
        <f>I7-G8</f>
        <v>1784.11</v>
      </c>
      <c r="J9" s="191"/>
      <c r="K9" s="19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06"/>
      <c r="B10" s="207"/>
      <c r="C10" s="206"/>
      <c r="D10" s="206"/>
      <c r="E10" s="206"/>
      <c r="F10" s="206"/>
      <c r="G10" s="208"/>
      <c r="H10" s="208"/>
      <c r="I10" s="208"/>
      <c r="J10" s="191"/>
      <c r="K10" s="19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09" t="s">
        <v>144</v>
      </c>
      <c r="B11" s="206"/>
      <c r="C11" s="202"/>
      <c r="D11" s="202"/>
      <c r="E11" s="202"/>
      <c r="F11" s="202"/>
      <c r="G11" s="202"/>
      <c r="H11" s="202"/>
      <c r="I11" s="178">
        <f>I9</f>
        <v>1784.11</v>
      </c>
      <c r="J11" s="191"/>
      <c r="K11" s="19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160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161</v>
      </c>
      <c r="B5" s="3"/>
      <c r="C5" s="3"/>
      <c r="D5" s="3"/>
      <c r="E5" s="180"/>
      <c r="F5" s="181">
        <f>1784.11</f>
        <v>1784.11</v>
      </c>
    </row>
    <row r="6">
      <c r="A6" s="182" t="s">
        <v>162</v>
      </c>
      <c r="B6" s="183"/>
      <c r="C6" s="183"/>
      <c r="D6" s="183"/>
      <c r="E6" s="184"/>
      <c r="F6" s="185">
        <f>'  Logbook 06.24'!I9</f>
        <v>1784.11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163</v>
      </c>
      <c r="B9" s="3"/>
      <c r="C9" s="3"/>
      <c r="D9" s="3"/>
      <c r="E9" s="180"/>
      <c r="F9" s="185">
        <f>1784.11</f>
        <v>1784.11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v>0.0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'  Logbook 06.24'!I11</f>
        <v>1784.11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164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88" t="s">
        <v>125</v>
      </c>
      <c r="B5" s="189"/>
      <c r="C5" s="189"/>
      <c r="D5" s="189"/>
      <c r="E5" s="189"/>
      <c r="F5" s="189"/>
      <c r="G5" s="189"/>
      <c r="H5" s="189"/>
      <c r="I5" s="190"/>
      <c r="J5" s="191"/>
      <c r="K5" s="19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92" t="s">
        <v>126</v>
      </c>
      <c r="B6" s="193" t="s">
        <v>127</v>
      </c>
      <c r="C6" s="194" t="s">
        <v>128</v>
      </c>
      <c r="D6" s="194" t="s">
        <v>129</v>
      </c>
      <c r="E6" s="194" t="s">
        <v>130</v>
      </c>
      <c r="F6" s="194" t="s">
        <v>131</v>
      </c>
      <c r="G6" s="195" t="s">
        <v>132</v>
      </c>
      <c r="H6" s="196" t="s">
        <v>133</v>
      </c>
      <c r="I6" s="196" t="s">
        <v>134</v>
      </c>
      <c r="J6" s="191"/>
      <c r="K6" s="19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97"/>
      <c r="B7" s="189"/>
      <c r="C7" s="189"/>
      <c r="D7" s="189"/>
      <c r="E7" s="189"/>
      <c r="F7" s="189"/>
      <c r="G7" s="189"/>
      <c r="H7" s="190"/>
      <c r="I7" s="165">
        <f>' Bank Rec 06.24'!F14</f>
        <v>1784.11</v>
      </c>
      <c r="J7" s="191"/>
      <c r="K7" s="19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98">
        <v>1.0</v>
      </c>
      <c r="B8" s="199">
        <v>45475.0</v>
      </c>
      <c r="C8" s="200" t="s">
        <v>135</v>
      </c>
      <c r="D8" s="201" t="s">
        <v>136</v>
      </c>
      <c r="E8" s="202"/>
      <c r="F8" s="202"/>
      <c r="G8" s="203">
        <f>6</f>
        <v>6</v>
      </c>
      <c r="H8" s="204"/>
      <c r="I8" s="204"/>
      <c r="J8" s="191"/>
      <c r="K8" s="19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05" t="s">
        <v>143</v>
      </c>
      <c r="B9" s="189"/>
      <c r="C9" s="189"/>
      <c r="D9" s="189"/>
      <c r="E9" s="189"/>
      <c r="F9" s="189"/>
      <c r="G9" s="189"/>
      <c r="H9" s="190"/>
      <c r="I9" s="165">
        <f>I7-G8</f>
        <v>1778.11</v>
      </c>
      <c r="J9" s="191"/>
      <c r="K9" s="19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06"/>
      <c r="B10" s="207"/>
      <c r="C10" s="206"/>
      <c r="D10" s="206"/>
      <c r="E10" s="206"/>
      <c r="F10" s="206"/>
      <c r="G10" s="208"/>
      <c r="H10" s="208"/>
      <c r="I10" s="208"/>
      <c r="J10" s="191"/>
      <c r="K10" s="19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09" t="s">
        <v>144</v>
      </c>
      <c r="B11" s="206"/>
      <c r="C11" s="202"/>
      <c r="D11" s="202"/>
      <c r="E11" s="202"/>
      <c r="F11" s="202"/>
      <c r="G11" s="202"/>
      <c r="H11" s="202"/>
      <c r="I11" s="178">
        <f>I9</f>
        <v>1778.11</v>
      </c>
      <c r="J11" s="191"/>
      <c r="K11" s="19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165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166</v>
      </c>
      <c r="B5" s="3"/>
      <c r="C5" s="3"/>
      <c r="D5" s="3"/>
      <c r="E5" s="180"/>
      <c r="F5" s="181">
        <f>' Logbook 07.24'!I11</f>
        <v>1778.11</v>
      </c>
    </row>
    <row r="6">
      <c r="A6" s="182" t="s">
        <v>167</v>
      </c>
      <c r="B6" s="183"/>
      <c r="C6" s="183"/>
      <c r="D6" s="183"/>
      <c r="E6" s="184"/>
      <c r="F6" s="181">
        <f>F5</f>
        <v>1778.11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168</v>
      </c>
      <c r="B9" s="3"/>
      <c r="C9" s="3"/>
      <c r="D9" s="3"/>
      <c r="E9" s="180"/>
      <c r="F9" s="185">
        <f>F6</f>
        <v>1778.11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f>(F9+F10)-F11</f>
        <v>1778.11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F12</f>
        <v>1778.11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3.75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169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88" t="s">
        <v>125</v>
      </c>
      <c r="B5" s="189"/>
      <c r="C5" s="189"/>
      <c r="D5" s="189"/>
      <c r="E5" s="189"/>
      <c r="F5" s="189"/>
      <c r="G5" s="189"/>
      <c r="H5" s="189"/>
      <c r="I5" s="190"/>
      <c r="J5" s="191"/>
      <c r="K5" s="19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92" t="s">
        <v>126</v>
      </c>
      <c r="B6" s="193" t="s">
        <v>127</v>
      </c>
      <c r="C6" s="194" t="s">
        <v>128</v>
      </c>
      <c r="D6" s="194" t="s">
        <v>129</v>
      </c>
      <c r="E6" s="194" t="s">
        <v>130</v>
      </c>
      <c r="F6" s="194" t="s">
        <v>131</v>
      </c>
      <c r="G6" s="195" t="s">
        <v>132</v>
      </c>
      <c r="H6" s="196" t="s">
        <v>133</v>
      </c>
      <c r="I6" s="196" t="s">
        <v>134</v>
      </c>
      <c r="J6" s="191"/>
      <c r="K6" s="19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97"/>
      <c r="B7" s="189"/>
      <c r="C7" s="189"/>
      <c r="D7" s="189"/>
      <c r="E7" s="189"/>
      <c r="F7" s="189"/>
      <c r="G7" s="189"/>
      <c r="H7" s="190"/>
      <c r="I7" s="165">
        <f>' Bank Rec 07.24'!F14</f>
        <v>1778.11</v>
      </c>
      <c r="J7" s="191"/>
      <c r="K7" s="19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98">
        <v>1.0</v>
      </c>
      <c r="B8" s="210">
        <v>45505.0</v>
      </c>
      <c r="C8" s="200" t="s">
        <v>135</v>
      </c>
      <c r="D8" s="201" t="s">
        <v>136</v>
      </c>
      <c r="E8" s="202"/>
      <c r="F8" s="202"/>
      <c r="G8" s="203">
        <f>6</f>
        <v>6</v>
      </c>
      <c r="H8" s="204"/>
      <c r="I8" s="204">
        <f t="shared" ref="I8:I9" si="1">I7-G8</f>
        <v>1772.11</v>
      </c>
      <c r="J8" s="191"/>
      <c r="K8" s="19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11">
        <v>2.0</v>
      </c>
      <c r="B9" s="212" t="s">
        <v>170</v>
      </c>
      <c r="C9" s="200" t="s">
        <v>171</v>
      </c>
      <c r="D9" s="201" t="s">
        <v>12</v>
      </c>
      <c r="E9" s="213"/>
      <c r="F9" s="213"/>
      <c r="G9" s="214">
        <v>545.96</v>
      </c>
      <c r="H9" s="213"/>
      <c r="I9" s="165">
        <f t="shared" si="1"/>
        <v>1226.15</v>
      </c>
      <c r="J9" s="191"/>
      <c r="K9" s="19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05" t="s">
        <v>143</v>
      </c>
      <c r="B10" s="189"/>
      <c r="C10" s="189"/>
      <c r="D10" s="189"/>
      <c r="E10" s="189"/>
      <c r="F10" s="189"/>
      <c r="G10" s="189"/>
      <c r="H10" s="190"/>
      <c r="I10" s="165">
        <f>I9</f>
        <v>1226.15</v>
      </c>
      <c r="J10" s="191"/>
      <c r="K10" s="19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06"/>
      <c r="B11" s="207"/>
      <c r="C11" s="206"/>
      <c r="D11" s="206"/>
      <c r="E11" s="206"/>
      <c r="F11" s="206"/>
      <c r="G11" s="208"/>
      <c r="H11" s="208"/>
      <c r="I11" s="208"/>
      <c r="J11" s="191"/>
      <c r="K11" s="19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09" t="s">
        <v>144</v>
      </c>
      <c r="B12" s="206"/>
      <c r="C12" s="202"/>
      <c r="D12" s="202"/>
      <c r="E12" s="202"/>
      <c r="F12" s="202"/>
      <c r="G12" s="202"/>
      <c r="H12" s="202"/>
      <c r="I12" s="178">
        <f>I10</f>
        <v>1226.15</v>
      </c>
      <c r="J12" s="191"/>
      <c r="K12" s="19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</sheetData>
  <mergeCells count="3">
    <mergeCell ref="A5:I5"/>
    <mergeCell ref="A7:H7"/>
    <mergeCell ref="A10:H10"/>
  </mergeCells>
  <conditionalFormatting sqref="G1:G4 G6 G8 G11:G941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  <dataValidation type="list" allowBlank="1" showErrorMessage="1" sqref="D9">
      <formula1>"Funding,Events,Other,Bank Fee,e-Transfer sent to Alysse Hanisch"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169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172</v>
      </c>
      <c r="B5" s="3"/>
      <c r="C5" s="3"/>
      <c r="D5" s="3"/>
      <c r="E5" s="180"/>
      <c r="F5" s="181">
        <f>' Logbook 08.24'!I10</f>
        <v>1226.15</v>
      </c>
    </row>
    <row r="6">
      <c r="A6" s="182" t="s">
        <v>173</v>
      </c>
      <c r="B6" s="183"/>
      <c r="C6" s="183"/>
      <c r="D6" s="183"/>
      <c r="E6" s="184"/>
      <c r="F6" s="181">
        <f>F5</f>
        <v>1226.15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174</v>
      </c>
      <c r="B9" s="3"/>
      <c r="C9" s="3"/>
      <c r="D9" s="3"/>
      <c r="E9" s="180"/>
      <c r="F9" s="185">
        <f>F6</f>
        <v>1226.15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f>(F9+F10)-F11</f>
        <v>1226.15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F12</f>
        <v>1226.15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123</v>
      </c>
      <c r="B1" s="159"/>
      <c r="C1" s="159"/>
      <c r="D1" s="159"/>
      <c r="E1" s="159"/>
      <c r="F1" s="159"/>
      <c r="G1" s="159"/>
      <c r="H1" s="159"/>
      <c r="I1" s="15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175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9"/>
      <c r="B3" s="159"/>
      <c r="C3" s="159"/>
      <c r="D3" s="159"/>
      <c r="E3" s="159"/>
      <c r="F3" s="159"/>
      <c r="G3" s="159"/>
      <c r="H3" s="159"/>
      <c r="I3" s="1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88" t="s">
        <v>125</v>
      </c>
      <c r="B5" s="189"/>
      <c r="C5" s="189"/>
      <c r="D5" s="189"/>
      <c r="E5" s="189"/>
      <c r="F5" s="189"/>
      <c r="G5" s="189"/>
      <c r="H5" s="189"/>
      <c r="I5" s="190"/>
      <c r="J5" s="191"/>
      <c r="K5" s="19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92" t="s">
        <v>126</v>
      </c>
      <c r="B6" s="193" t="s">
        <v>127</v>
      </c>
      <c r="C6" s="194" t="s">
        <v>128</v>
      </c>
      <c r="D6" s="194" t="s">
        <v>129</v>
      </c>
      <c r="E6" s="194" t="s">
        <v>130</v>
      </c>
      <c r="F6" s="194" t="s">
        <v>131</v>
      </c>
      <c r="G6" s="195" t="s">
        <v>132</v>
      </c>
      <c r="H6" s="196" t="s">
        <v>133</v>
      </c>
      <c r="I6" s="196" t="s">
        <v>134</v>
      </c>
      <c r="J6" s="191"/>
      <c r="K6" s="19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97"/>
      <c r="B7" s="189"/>
      <c r="C7" s="189"/>
      <c r="D7" s="189"/>
      <c r="E7" s="189"/>
      <c r="F7" s="189"/>
      <c r="G7" s="189"/>
      <c r="H7" s="190"/>
      <c r="I7" s="165">
        <f>' Bank Rec 08.24'!F14</f>
        <v>1226.15</v>
      </c>
      <c r="J7" s="191"/>
      <c r="K7" s="19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98">
        <v>1.0</v>
      </c>
      <c r="B8" s="199">
        <v>45475.0</v>
      </c>
      <c r="C8" s="200" t="s">
        <v>135</v>
      </c>
      <c r="D8" s="201" t="s">
        <v>136</v>
      </c>
      <c r="E8" s="202"/>
      <c r="F8" s="202"/>
      <c r="G8" s="203">
        <f>6</f>
        <v>6</v>
      </c>
      <c r="H8" s="204"/>
      <c r="I8" s="204"/>
      <c r="J8" s="191"/>
      <c r="K8" s="19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05" t="s">
        <v>143</v>
      </c>
      <c r="B9" s="189"/>
      <c r="C9" s="189"/>
      <c r="D9" s="189"/>
      <c r="E9" s="189"/>
      <c r="F9" s="189"/>
      <c r="G9" s="189"/>
      <c r="H9" s="190"/>
      <c r="I9" s="165">
        <f>I7-G8</f>
        <v>1220.15</v>
      </c>
      <c r="J9" s="191"/>
      <c r="K9" s="19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06"/>
      <c r="B10" s="207"/>
      <c r="C10" s="206"/>
      <c r="D10" s="206"/>
      <c r="E10" s="206"/>
      <c r="F10" s="206"/>
      <c r="G10" s="208"/>
      <c r="H10" s="208"/>
      <c r="I10" s="208"/>
      <c r="J10" s="191"/>
      <c r="K10" s="19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09" t="s">
        <v>144</v>
      </c>
      <c r="B11" s="206"/>
      <c r="C11" s="202"/>
      <c r="D11" s="202"/>
      <c r="E11" s="202"/>
      <c r="F11" s="202"/>
      <c r="G11" s="202"/>
      <c r="H11" s="202"/>
      <c r="I11" s="178">
        <f>I9</f>
        <v>1220.15</v>
      </c>
      <c r="J11" s="191"/>
      <c r="K11" s="19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145</v>
      </c>
      <c r="B1" s="2"/>
      <c r="C1" s="2"/>
      <c r="D1" s="2"/>
      <c r="E1" s="2"/>
      <c r="F1" s="2"/>
    </row>
    <row r="2">
      <c r="A2" s="5" t="s">
        <v>176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132</v>
      </c>
      <c r="F4" s="5" t="s">
        <v>133</v>
      </c>
    </row>
    <row r="5">
      <c r="A5" s="5" t="s">
        <v>166</v>
      </c>
      <c r="B5" s="3"/>
      <c r="C5" s="3"/>
      <c r="D5" s="3"/>
      <c r="E5" s="180"/>
      <c r="F5" s="181">
        <f>' Logbook 07.24'!I11</f>
        <v>1778.11</v>
      </c>
    </row>
    <row r="6">
      <c r="A6" s="182" t="s">
        <v>167</v>
      </c>
      <c r="B6" s="183"/>
      <c r="C6" s="183"/>
      <c r="D6" s="183"/>
      <c r="E6" s="184"/>
      <c r="F6" s="181">
        <f>F5</f>
        <v>1778.11</v>
      </c>
    </row>
    <row r="7">
      <c r="A7" s="5" t="s">
        <v>148</v>
      </c>
      <c r="B7" s="3"/>
      <c r="C7" s="3"/>
      <c r="D7" s="3"/>
      <c r="E7" s="180"/>
      <c r="F7" s="181">
        <v>0.0</v>
      </c>
    </row>
    <row r="8">
      <c r="A8" s="3"/>
      <c r="B8" s="3"/>
      <c r="C8" s="3"/>
      <c r="D8" s="3"/>
      <c r="E8" s="180"/>
      <c r="F8" s="180"/>
    </row>
    <row r="9">
      <c r="A9" s="5" t="s">
        <v>168</v>
      </c>
      <c r="B9" s="3"/>
      <c r="C9" s="3"/>
      <c r="D9" s="3"/>
      <c r="E9" s="180"/>
      <c r="F9" s="185">
        <f>F6</f>
        <v>1778.11</v>
      </c>
    </row>
    <row r="10">
      <c r="A10" s="5" t="s">
        <v>150</v>
      </c>
      <c r="B10" s="3"/>
      <c r="C10" s="3"/>
      <c r="D10" s="3"/>
      <c r="E10" s="180"/>
      <c r="F10" s="181">
        <v>0.0</v>
      </c>
    </row>
    <row r="11">
      <c r="A11" s="5" t="s">
        <v>151</v>
      </c>
      <c r="B11" s="3"/>
      <c r="C11" s="3"/>
      <c r="D11" s="3"/>
      <c r="E11" s="180"/>
      <c r="F11" s="180"/>
    </row>
    <row r="12">
      <c r="A12" s="186" t="s">
        <v>152</v>
      </c>
      <c r="B12" s="3"/>
      <c r="C12" s="3"/>
      <c r="D12" s="3"/>
      <c r="E12" s="3"/>
      <c r="F12" s="181">
        <f>(F9+F10)-F11</f>
        <v>1778.11</v>
      </c>
    </row>
    <row r="13">
      <c r="A13" s="3"/>
      <c r="B13" s="3"/>
      <c r="C13" s="3"/>
      <c r="D13" s="3"/>
      <c r="E13" s="180"/>
      <c r="F13" s="180"/>
    </row>
    <row r="14">
      <c r="A14" s="5" t="s">
        <v>153</v>
      </c>
      <c r="B14" s="3"/>
      <c r="C14" s="3"/>
      <c r="D14" s="3"/>
      <c r="E14" s="180"/>
      <c r="F14" s="187">
        <f>F12</f>
        <v>1778.11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0"/>
    <col customWidth="1" min="3" max="3" width="19.25"/>
    <col customWidth="1" min="4" max="4" width="29.38"/>
    <col customWidth="1" min="5" max="5" width="40.13"/>
    <col customWidth="1" min="6" max="6" width="41.38"/>
    <col customWidth="1" min="7" max="7" width="17.88"/>
  </cols>
  <sheetData>
    <row r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178</v>
      </c>
      <c r="B4" s="113"/>
      <c r="C4" s="113"/>
      <c r="D4" s="113"/>
      <c r="E4" s="113"/>
      <c r="F4" s="113"/>
      <c r="G4" s="1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16" t="s">
        <v>179</v>
      </c>
      <c r="B5" s="216" t="s">
        <v>180</v>
      </c>
      <c r="C5" s="216" t="s">
        <v>181</v>
      </c>
      <c r="D5" s="216" t="s">
        <v>182</v>
      </c>
      <c r="E5" s="216" t="s">
        <v>183</v>
      </c>
      <c r="F5" s="216" t="s">
        <v>184</v>
      </c>
      <c r="G5" s="216" t="s">
        <v>185</v>
      </c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17" t="s">
        <v>186</v>
      </c>
      <c r="B6" s="217"/>
      <c r="C6" s="217"/>
      <c r="D6" s="217"/>
      <c r="E6" s="217"/>
      <c r="F6" s="217"/>
      <c r="G6" s="217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17" t="s">
        <v>186</v>
      </c>
      <c r="B7" s="217"/>
      <c r="C7" s="217"/>
      <c r="D7" s="217"/>
      <c r="E7" s="217"/>
      <c r="F7" s="217"/>
      <c r="G7" s="217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17" t="s">
        <v>186</v>
      </c>
      <c r="B8" s="217"/>
      <c r="C8" s="217"/>
      <c r="D8" s="217"/>
      <c r="E8" s="217"/>
      <c r="F8" s="217"/>
      <c r="G8" s="217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17" t="s">
        <v>186</v>
      </c>
      <c r="B9" s="217"/>
      <c r="C9" s="217"/>
      <c r="D9" s="217"/>
      <c r="E9" s="217"/>
      <c r="F9" s="217"/>
      <c r="G9" s="217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17" t="s">
        <v>186</v>
      </c>
      <c r="B10" s="217"/>
      <c r="C10" s="217"/>
      <c r="D10" s="217"/>
      <c r="E10" s="217"/>
      <c r="F10" s="217"/>
      <c r="G10" s="217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</row>
    <row r="666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</row>
    <row r="667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</row>
    <row r="668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</row>
    <row r="669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</row>
    <row r="670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</row>
    <row r="671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</row>
    <row r="67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</row>
    <row r="673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</row>
    <row r="674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</row>
    <row r="675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</row>
    <row r="676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</row>
    <row r="677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</row>
    <row r="678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</row>
    <row r="679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</row>
    <row r="680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</row>
    <row r="681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</row>
    <row r="68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</row>
    <row r="683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</row>
    <row r="684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</row>
    <row r="685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</row>
    <row r="686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</row>
    <row r="687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</row>
    <row r="688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</row>
    <row r="689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</row>
    <row r="690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</row>
    <row r="691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</row>
    <row r="69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</row>
    <row r="693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</row>
    <row r="694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</row>
    <row r="695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</row>
    <row r="696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</row>
    <row r="697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</row>
    <row r="698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</row>
    <row r="699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</row>
    <row r="700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</row>
    <row r="701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</row>
    <row r="70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</row>
    <row r="703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</row>
    <row r="704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</row>
    <row r="705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</row>
    <row r="706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</row>
    <row r="707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</row>
    <row r="708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</row>
    <row r="709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</row>
    <row r="710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</row>
    <row r="711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</row>
    <row r="71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</row>
    <row r="713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</row>
    <row r="714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</row>
    <row r="715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</row>
    <row r="716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</row>
    <row r="717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</row>
    <row r="718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</row>
    <row r="719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</row>
    <row r="720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</row>
    <row r="721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</row>
    <row r="72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</row>
    <row r="723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</row>
    <row r="724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</row>
    <row r="725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</row>
    <row r="726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</row>
    <row r="727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</row>
    <row r="728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</row>
    <row r="729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</row>
    <row r="730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</row>
    <row r="731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</row>
    <row r="73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</row>
    <row r="733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</row>
    <row r="734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</row>
    <row r="735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</row>
    <row r="736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</row>
    <row r="737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</row>
    <row r="738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</row>
    <row r="739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</row>
    <row r="740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15"/>
      <c r="C953" s="215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15"/>
      <c r="C954" s="215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15"/>
      <c r="C955" s="215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15"/>
      <c r="C956" s="215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15"/>
      <c r="C957" s="215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15"/>
      <c r="C958" s="215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15"/>
      <c r="C959" s="215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15"/>
      <c r="C960" s="215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15"/>
      <c r="C961" s="215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15"/>
      <c r="C962" s="215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15"/>
      <c r="C963" s="215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15"/>
      <c r="C964" s="215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15"/>
      <c r="C965" s="215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15"/>
      <c r="C966" s="215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15"/>
      <c r="C967" s="215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15"/>
      <c r="C968" s="215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15"/>
      <c r="C969" s="215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15"/>
      <c r="C970" s="215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15"/>
      <c r="C971" s="215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15"/>
      <c r="C972" s="215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15"/>
      <c r="C973" s="215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15"/>
      <c r="C974" s="215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15"/>
      <c r="C975" s="215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15"/>
      <c r="C976" s="215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15"/>
      <c r="C977" s="215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15"/>
      <c r="C978" s="215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15"/>
      <c r="C979" s="215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15"/>
      <c r="C980" s="215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15"/>
      <c r="C981" s="215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15"/>
      <c r="C982" s="215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15"/>
      <c r="C983" s="215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15"/>
      <c r="C984" s="215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15"/>
      <c r="C985" s="215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15"/>
      <c r="C986" s="215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15"/>
      <c r="C987" s="215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15"/>
      <c r="C988" s="215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15"/>
      <c r="C989" s="215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15"/>
      <c r="C990" s="215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15"/>
      <c r="C991" s="215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15"/>
      <c r="C992" s="215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15"/>
      <c r="C993" s="215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15"/>
      <c r="C994" s="215"/>
      <c r="D994" s="215"/>
      <c r="E994" s="21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15"/>
      <c r="C995" s="215"/>
      <c r="D995" s="215"/>
      <c r="E995" s="21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15"/>
      <c r="C996" s="215"/>
      <c r="D996" s="215"/>
      <c r="E996" s="21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15"/>
      <c r="C997" s="215"/>
      <c r="D997" s="215"/>
      <c r="E997" s="21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15"/>
      <c r="C998" s="215"/>
      <c r="D998" s="215"/>
      <c r="E998" s="21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15"/>
      <c r="C999" s="215"/>
      <c r="D999" s="215"/>
      <c r="E999" s="21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15"/>
      <c r="C1000" s="215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  <row r="1001">
      <c r="A1001" s="215"/>
      <c r="B1001" s="215"/>
      <c r="C1001" s="215"/>
      <c r="D1001" s="215"/>
      <c r="E1001" s="215"/>
      <c r="F1001" s="21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</row>
    <row r="1002">
      <c r="A1002" s="215"/>
      <c r="B1002" s="215"/>
      <c r="C1002" s="215"/>
      <c r="D1002" s="215"/>
      <c r="E1002" s="215"/>
      <c r="F1002" s="21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</row>
  </sheetData>
  <mergeCells count="1">
    <mergeCell ref="A4:G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5.38"/>
    <col customWidth="1" min="3" max="3" width="10.0"/>
    <col customWidth="1" min="4" max="4" width="12.25"/>
    <col customWidth="1" min="5" max="5" width="10.88"/>
  </cols>
  <sheetData>
    <row r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12" t="s">
        <v>188</v>
      </c>
      <c r="B4" s="113"/>
      <c r="C4" s="113"/>
      <c r="D4" s="113"/>
      <c r="E4" s="114"/>
    </row>
    <row r="5">
      <c r="A5" s="218" t="s">
        <v>127</v>
      </c>
      <c r="B5" s="218" t="s">
        <v>189</v>
      </c>
      <c r="C5" s="218" t="s">
        <v>190</v>
      </c>
      <c r="D5" s="218" t="s">
        <v>191</v>
      </c>
      <c r="E5" s="218" t="s">
        <v>134</v>
      </c>
    </row>
    <row r="6">
      <c r="A6" s="219" t="s">
        <v>192</v>
      </c>
      <c r="B6" s="220"/>
      <c r="C6" s="220"/>
      <c r="D6" s="220"/>
      <c r="E6" s="221"/>
    </row>
    <row r="7">
      <c r="A7" s="222"/>
      <c r="B7" s="222" t="s">
        <v>128</v>
      </c>
      <c r="C7" s="223"/>
      <c r="D7" s="223"/>
      <c r="E7" s="223"/>
    </row>
    <row r="8">
      <c r="A8" s="217"/>
      <c r="B8" s="222" t="s">
        <v>128</v>
      </c>
      <c r="C8" s="224"/>
      <c r="D8" s="224"/>
      <c r="E8" s="224"/>
    </row>
    <row r="9">
      <c r="A9" s="217"/>
      <c r="B9" s="222" t="s">
        <v>128</v>
      </c>
      <c r="C9" s="224"/>
      <c r="D9" s="224"/>
      <c r="E9" s="224"/>
    </row>
    <row r="10">
      <c r="A10" s="217"/>
      <c r="B10" s="222" t="s">
        <v>128</v>
      </c>
      <c r="C10" s="224"/>
      <c r="D10" s="224"/>
      <c r="E10" s="224"/>
    </row>
    <row r="11">
      <c r="A11" s="225"/>
      <c r="B11" s="222" t="s">
        <v>128</v>
      </c>
      <c r="C11" s="226"/>
      <c r="D11" s="226"/>
      <c r="E11" s="226"/>
    </row>
    <row r="12">
      <c r="A12" s="219" t="s">
        <v>193</v>
      </c>
      <c r="B12" s="220"/>
      <c r="C12" s="220"/>
      <c r="D12" s="220"/>
      <c r="E12" s="221"/>
    </row>
  </sheetData>
  <mergeCells count="1">
    <mergeCell ref="A4:E4"/>
  </mergeCells>
  <drawing r:id="rId1"/>
</worksheet>
</file>