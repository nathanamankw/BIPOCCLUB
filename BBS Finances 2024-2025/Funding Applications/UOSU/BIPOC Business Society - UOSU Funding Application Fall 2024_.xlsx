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 2024 Budget" sheetId="1" r:id="rId5"/>
  </sheets>
  <definedNames/>
  <calcPr/>
</workbook>
</file>

<file path=xl/sharedStrings.xml><?xml version="1.0" encoding="utf-8"?>
<sst xmlns="http://schemas.openxmlformats.org/spreadsheetml/2006/main" count="73" uniqueCount="56">
  <si>
    <t>UOSU Funding Application - Telfer BIPOC Business Society</t>
  </si>
  <si>
    <t>Fall 2024 Budget</t>
  </si>
  <si>
    <t>Projected Revenue</t>
  </si>
  <si>
    <t>Sept-24</t>
  </si>
  <si>
    <t>Total</t>
  </si>
  <si>
    <t>Net Summit - Ticket Sales</t>
  </si>
  <si>
    <t>Anticipating 100 students and 50 professionals ($25/student $50/professional)</t>
  </si>
  <si>
    <t>Networking Event with Traditional Clothing  - Ticket Sales</t>
  </si>
  <si>
    <t>Anticipating 40 students ($10/student)</t>
  </si>
  <si>
    <t>Sponsorship #1 - Ottawa Tourism</t>
  </si>
  <si>
    <t>Total Projected Revenue</t>
  </si>
  <si>
    <t>Projected Expenses</t>
  </si>
  <si>
    <t>Net Summit</t>
  </si>
  <si>
    <t>Food &amp; Beverages (Poulet Rouge sponsorship + Snacks, Appetizers, Drinks Etc.)</t>
  </si>
  <si>
    <t>Student Experience Packages</t>
  </si>
  <si>
    <t>Decorations Expense</t>
  </si>
  <si>
    <t>Speaker Fees</t>
  </si>
  <si>
    <t>Nametags</t>
  </si>
  <si>
    <t>Photographer</t>
  </si>
  <si>
    <t xml:space="preserve">Venue - Total based on Quote from Invest Ottawa </t>
  </si>
  <si>
    <t>Net Summit Total</t>
  </si>
  <si>
    <t>Games Day</t>
  </si>
  <si>
    <t xml:space="preserve">Food &amp; Beverages </t>
  </si>
  <si>
    <t>Utencils</t>
  </si>
  <si>
    <r>
      <rPr>
        <rFont val="Montserrat"/>
      </rPr>
      <t xml:space="preserve">Games </t>
    </r>
    <r>
      <rPr>
        <rFont val="Montserrat"/>
        <color rgb="FF1155CC"/>
        <u/>
      </rPr>
      <t>https://www.wonderflygames.com/lawn-games/</t>
    </r>
  </si>
  <si>
    <t>Marketing Material</t>
  </si>
  <si>
    <t>Games Day Total</t>
  </si>
  <si>
    <t>BBS x BHS Case Crack Competition</t>
  </si>
  <si>
    <t>Winner Fees</t>
  </si>
  <si>
    <t>Judge Fees</t>
  </si>
  <si>
    <t>Flyers</t>
  </si>
  <si>
    <t>Venue</t>
  </si>
  <si>
    <t>Case Crack Competition Total</t>
  </si>
  <si>
    <t>Office Tour</t>
  </si>
  <si>
    <t>Office Tour Total</t>
  </si>
  <si>
    <t xml:space="preserve">Networking Event with Traditional Clothing </t>
  </si>
  <si>
    <t>Networking Event with Traditional Clothing Total</t>
  </si>
  <si>
    <t>Other Expenses</t>
  </si>
  <si>
    <t>101 Week Kits Expenses</t>
  </si>
  <si>
    <t>Club Fair Expenses</t>
  </si>
  <si>
    <t>Sponsorship Proposal Expenses</t>
  </si>
  <si>
    <t>Christmas Care Package Expenses</t>
  </si>
  <si>
    <t>Events Display</t>
  </si>
  <si>
    <t>Canva Subscription</t>
  </si>
  <si>
    <t>WIX Website Subscription</t>
  </si>
  <si>
    <t>Charitable Contributions (CASCO membership)</t>
  </si>
  <si>
    <t>Bank Charge Fees ($6/month)</t>
  </si>
  <si>
    <t>Other Expenses Total</t>
  </si>
  <si>
    <t>Total Projected Expenses</t>
  </si>
  <si>
    <t>Surplus before Funding Grant (Deficit)</t>
  </si>
  <si>
    <t>BIPOC Business Society Grant (Requested)</t>
  </si>
  <si>
    <t>Total Surplus</t>
  </si>
  <si>
    <t>Prepared by:</t>
  </si>
  <si>
    <t xml:space="preserve">Annie Wang </t>
  </si>
  <si>
    <t xml:space="preserve">Vice President of Finance </t>
  </si>
  <si>
    <t>BIPOC Business Society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</si>
</sst>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&quot;$&quot;#,##0.00"/>
  </numFmts>
  <fonts count="13">
    <font>
      <sz val="10.0"/>
      <color rgb="FF000000"/>
      <name val="Arial"/>
      <scheme val="minor"/>
    </font>
    <font>
      <b/>
      <sz val="13.0"/>
      <color theme="1"/>
      <name val="Montserrat"/>
    </font>
    <font>
      <color theme="1"/>
      <name val="Montserrat"/>
    </font>
    <font>
      <sz val="12.0"/>
      <color theme="1"/>
      <name val="Montserrat"/>
    </font>
    <font>
      <b/>
      <sz val="18.0"/>
      <color rgb="FFFFFFFF"/>
      <name val="Montserrat"/>
    </font>
    <font/>
    <font>
      <b/>
      <sz val="12.0"/>
      <color theme="1"/>
      <name val="Montserrat"/>
    </font>
    <font>
      <b/>
      <color theme="1"/>
      <name val="Montserrat"/>
    </font>
    <font>
      <u/>
      <color rgb="FF0000FF"/>
      <name val="Montserrat"/>
    </font>
    <font>
      <b/>
      <color rgb="FF999999"/>
      <name val="Montserrat"/>
    </font>
    <font>
      <color rgb="FF999999"/>
      <name val="Montserrat"/>
    </font>
    <font>
      <sz val="12.0"/>
      <color rgb="FF999999"/>
      <name val="Montserrat"/>
    </font>
    <font>
      <color rgb="FF000000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44302B"/>
        <bgColor rgb="FF44302B"/>
      </patternFill>
    </fill>
    <fill>
      <patternFill patternType="solid">
        <fgColor rgb="FFFCF7F1"/>
        <bgColor rgb="FFFCF7F1"/>
      </patternFill>
    </fill>
    <fill>
      <patternFill patternType="solid">
        <fgColor rgb="FF000000"/>
        <bgColor rgb="FF000000"/>
      </patternFill>
    </fill>
    <fill>
      <patternFill patternType="solid">
        <fgColor rgb="FFA99685"/>
        <bgColor rgb="FFA99685"/>
      </patternFill>
    </fill>
  </fills>
  <borders count="14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readingOrder="0" vertical="bottom"/>
    </xf>
    <xf borderId="1" fillId="2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4" fillId="0" fontId="6" numFmtId="0" xfId="0" applyAlignment="1" applyBorder="1" applyFont="1">
      <alignment readingOrder="0" vertical="bottom"/>
    </xf>
    <xf borderId="0" fillId="0" fontId="3" numFmtId="0" xfId="0" applyFont="1"/>
    <xf borderId="0" fillId="0" fontId="6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5" fillId="0" fontId="6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5" fillId="0" fontId="3" numFmtId="165" xfId="0" applyAlignment="1" applyBorder="1" applyFont="1" applyNumberFormat="1">
      <alignment readingOrder="0"/>
    </xf>
    <xf borderId="6" fillId="3" fontId="6" numFmtId="0" xfId="0" applyAlignment="1" applyBorder="1" applyFill="1" applyFont="1">
      <alignment readingOrder="0" vertical="bottom"/>
    </xf>
    <xf borderId="7" fillId="3" fontId="2" numFmtId="165" xfId="0" applyAlignment="1" applyBorder="1" applyFont="1" applyNumberFormat="1">
      <alignment vertical="bottom"/>
    </xf>
    <xf borderId="7" fillId="3" fontId="3" numFmtId="165" xfId="0" applyAlignment="1" applyBorder="1" applyFont="1" applyNumberFormat="1">
      <alignment vertical="bottom"/>
    </xf>
    <xf borderId="7" fillId="3" fontId="3" numFmtId="165" xfId="0" applyAlignment="1" applyBorder="1" applyFont="1" applyNumberFormat="1">
      <alignment horizontal="right" vertical="bottom"/>
    </xf>
    <xf borderId="8" fillId="3" fontId="6" numFmtId="165" xfId="0" applyAlignment="1" applyBorder="1" applyFont="1" applyNumberFormat="1">
      <alignment readingOrder="0" vertical="bottom"/>
    </xf>
    <xf borderId="6" fillId="4" fontId="6" numFmtId="0" xfId="0" applyAlignment="1" applyBorder="1" applyFill="1" applyFont="1">
      <alignment readingOrder="0" vertical="bottom"/>
    </xf>
    <xf borderId="9" fillId="4" fontId="2" numFmtId="0" xfId="0" applyAlignment="1" applyBorder="1" applyFont="1">
      <alignment vertical="bottom"/>
    </xf>
    <xf borderId="9" fillId="4" fontId="3" numFmtId="0" xfId="0" applyAlignment="1" applyBorder="1" applyFont="1">
      <alignment vertical="bottom"/>
    </xf>
    <xf borderId="9" fillId="4" fontId="3" numFmtId="0" xfId="0" applyAlignment="1" applyBorder="1" applyFont="1">
      <alignment horizontal="right" vertical="bottom"/>
    </xf>
    <xf borderId="5" fillId="4" fontId="3" numFmtId="0" xfId="0" applyBorder="1" applyFont="1"/>
    <xf borderId="0" fillId="3" fontId="3" numFmtId="165" xfId="0" applyFont="1" applyNumberFormat="1"/>
    <xf borderId="5" fillId="0" fontId="3" numFmtId="165" xfId="0" applyBorder="1" applyFont="1" applyNumberFormat="1"/>
    <xf borderId="4" fillId="0" fontId="7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3" fontId="3" numFmtId="165" xfId="0" applyAlignment="1" applyFont="1" applyNumberFormat="1">
      <alignment readingOrder="0"/>
    </xf>
    <xf borderId="4" fillId="0" fontId="2" numFmtId="0" xfId="0" applyBorder="1" applyFont="1"/>
    <xf borderId="9" fillId="3" fontId="3" numFmtId="165" xfId="0" applyBorder="1" applyFont="1" applyNumberFormat="1"/>
    <xf borderId="9" fillId="0" fontId="3" numFmtId="165" xfId="0" applyBorder="1" applyFont="1" applyNumberFormat="1"/>
    <xf borderId="10" fillId="0" fontId="3" numFmtId="165" xfId="0" applyBorder="1" applyFont="1" applyNumberFormat="1"/>
    <xf borderId="4" fillId="5" fontId="2" numFmtId="0" xfId="0" applyBorder="1" applyFill="1" applyFont="1"/>
    <xf borderId="0" fillId="5" fontId="2" numFmtId="0" xfId="0" applyFont="1"/>
    <xf borderId="0" fillId="5" fontId="3" numFmtId="0" xfId="0" applyFont="1"/>
    <xf borderId="5" fillId="5" fontId="3" numFmtId="0" xfId="0" applyBorder="1" applyFont="1"/>
    <xf borderId="0" fillId="3" fontId="3" numFmtId="0" xfId="0" applyFont="1"/>
    <xf borderId="5" fillId="0" fontId="3" numFmtId="0" xfId="0" applyBorder="1" applyFont="1"/>
    <xf borderId="0" fillId="0" fontId="8" numFmtId="0" xfId="0" applyAlignment="1" applyFont="1">
      <alignment readingOrder="0"/>
    </xf>
    <xf borderId="4" fillId="5" fontId="9" numFmtId="0" xfId="0" applyAlignment="1" applyBorder="1" applyFont="1">
      <alignment readingOrder="0"/>
    </xf>
    <xf borderId="0" fillId="5" fontId="10" numFmtId="0" xfId="0" applyFont="1"/>
    <xf borderId="0" fillId="5" fontId="11" numFmtId="0" xfId="0" applyFont="1"/>
    <xf borderId="5" fillId="5" fontId="11" numFmtId="0" xfId="0" applyBorder="1" applyFont="1"/>
    <xf borderId="6" fillId="3" fontId="6" numFmtId="0" xfId="0" applyAlignment="1" applyBorder="1" applyFont="1">
      <alignment readingOrder="0"/>
    </xf>
    <xf borderId="9" fillId="3" fontId="2" numFmtId="0" xfId="0" applyBorder="1" applyFont="1"/>
    <xf borderId="9" fillId="3" fontId="3" numFmtId="165" xfId="0" applyAlignment="1" applyBorder="1" applyFont="1" applyNumberFormat="1">
      <alignment horizontal="right" vertical="bottom"/>
    </xf>
    <xf borderId="10" fillId="3" fontId="6" numFmtId="165" xfId="0" applyAlignment="1" applyBorder="1" applyFont="1" applyNumberFormat="1">
      <alignment vertical="bottom"/>
    </xf>
    <xf borderId="6" fillId="4" fontId="12" numFmtId="0" xfId="0" applyBorder="1" applyFont="1"/>
    <xf borderId="9" fillId="4" fontId="12" numFmtId="0" xfId="0" applyBorder="1" applyFont="1"/>
    <xf borderId="10" fillId="4" fontId="12" numFmtId="0" xfId="0" applyBorder="1" applyFont="1"/>
    <xf borderId="4" fillId="0" fontId="3" numFmtId="0" xfId="0" applyAlignment="1" applyBorder="1" applyFont="1">
      <alignment readingOrder="0"/>
    </xf>
    <xf borderId="5" fillId="0" fontId="3" numFmtId="165" xfId="0" applyAlignment="1" applyBorder="1" applyFont="1" applyNumberFormat="1">
      <alignment readingOrder="0"/>
    </xf>
    <xf borderId="11" fillId="3" fontId="6" numFmtId="0" xfId="0" applyAlignment="1" applyBorder="1" applyFont="1">
      <alignment readingOrder="0"/>
    </xf>
    <xf borderId="12" fillId="3" fontId="3" numFmtId="0" xfId="0" applyBorder="1" applyFont="1"/>
    <xf borderId="13" fillId="3" fontId="6" numFmtId="165" xfId="0" applyAlignment="1" applyBorder="1" applyFont="1" applyNumberForma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Fall 2024 Budget-style">
      <tableStyleElement dxfId="1" type="firstRowStripe"/>
      <tableStyleElement dxfId="1" type="secondRowStripe"/>
    </tableStyle>
    <tableStyle count="2" pivot="0" name="Fall 2024 Budget-style 2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74</xdr:row>
      <xdr:rowOff>190500</xdr:rowOff>
    </xdr:from>
    <xdr:ext cx="600075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9:J1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all 2024 Budget-style" showColumnStripes="0" showFirstColumn="1" showLastColumn="1" showRowStripes="1"/>
</table>
</file>

<file path=xl/tables/table2.xml><?xml version="1.0" encoding="utf-8"?>
<table xmlns="http://schemas.openxmlformats.org/spreadsheetml/2006/main" headerRowCount="0" ref="F70:J70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Fall 2024 Budge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nderflygames.com/lawn-games/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33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</v>
      </c>
      <c r="B4" s="5"/>
      <c r="C4" s="5"/>
      <c r="D4" s="5"/>
      <c r="E4" s="5"/>
      <c r="F4" s="5"/>
      <c r="G4" s="5"/>
      <c r="H4" s="5"/>
      <c r="I4" s="5"/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2</v>
      </c>
      <c r="B5" s="2"/>
      <c r="C5" s="8"/>
      <c r="D5" s="8"/>
      <c r="E5" s="8"/>
      <c r="F5" s="9" t="s">
        <v>3</v>
      </c>
      <c r="G5" s="10">
        <v>45589.0</v>
      </c>
      <c r="H5" s="10">
        <v>45620.0</v>
      </c>
      <c r="I5" s="10">
        <v>45650.0</v>
      </c>
      <c r="J5" s="11" t="s">
        <v>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 t="s">
        <v>5</v>
      </c>
      <c r="B6" s="13" t="s">
        <v>6</v>
      </c>
      <c r="C6" s="8"/>
      <c r="D6" s="8"/>
      <c r="E6" s="8"/>
      <c r="F6" s="14">
        <f>(100*25)+(50*50)</f>
        <v>5000</v>
      </c>
      <c r="G6" s="15"/>
      <c r="H6" s="15"/>
      <c r="I6" s="15"/>
      <c r="J6" s="16">
        <f>sum(F6:I6)</f>
        <v>5000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7</v>
      </c>
      <c r="B7" s="13" t="s">
        <v>8</v>
      </c>
      <c r="C7" s="8"/>
      <c r="D7" s="8"/>
      <c r="E7" s="8"/>
      <c r="G7" s="15">
        <f>40*10</f>
        <v>400</v>
      </c>
      <c r="H7" s="15"/>
      <c r="I7" s="15"/>
      <c r="J7" s="16">
        <f>sum(G7:I7)</f>
        <v>400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9</v>
      </c>
      <c r="B8" s="2"/>
      <c r="C8" s="8"/>
      <c r="D8" s="8"/>
      <c r="E8" s="8"/>
      <c r="F8" s="14">
        <v>3000.0</v>
      </c>
      <c r="G8" s="15"/>
      <c r="H8" s="15"/>
      <c r="I8" s="15"/>
      <c r="J8" s="16">
        <f>sum(F8:I8)</f>
        <v>3000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">
        <v>10</v>
      </c>
      <c r="B9" s="18"/>
      <c r="C9" s="19"/>
      <c r="D9" s="19"/>
      <c r="E9" s="19"/>
      <c r="F9" s="20">
        <f t="shared" ref="F9:I9" si="1">sum(F6:F8)</f>
        <v>8000</v>
      </c>
      <c r="G9" s="20">
        <f t="shared" si="1"/>
        <v>400</v>
      </c>
      <c r="H9" s="20">
        <f t="shared" si="1"/>
        <v>0</v>
      </c>
      <c r="I9" s="20">
        <f t="shared" si="1"/>
        <v>0</v>
      </c>
      <c r="J9" s="21">
        <f>SUM(J6:J8)</f>
        <v>8400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2"/>
      <c r="B10" s="23"/>
      <c r="C10" s="24"/>
      <c r="D10" s="24"/>
      <c r="E10" s="24"/>
      <c r="F10" s="25"/>
      <c r="G10" s="25"/>
      <c r="H10" s="25"/>
      <c r="I10" s="25"/>
      <c r="J10" s="2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11</v>
      </c>
      <c r="B11" s="2"/>
      <c r="C11" s="8"/>
      <c r="D11" s="8"/>
      <c r="E11" s="8"/>
      <c r="F11" s="27"/>
      <c r="G11" s="15"/>
      <c r="H11" s="15"/>
      <c r="I11" s="15"/>
      <c r="J11" s="2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9" t="s">
        <v>12</v>
      </c>
      <c r="C12" s="8"/>
      <c r="D12" s="8"/>
      <c r="E12" s="30"/>
      <c r="F12" s="27"/>
      <c r="G12" s="15"/>
      <c r="H12" s="15"/>
      <c r="I12" s="15"/>
      <c r="J12" s="2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/>
      <c r="B13" s="13" t="s">
        <v>13</v>
      </c>
      <c r="C13" s="8"/>
      <c r="D13" s="8"/>
      <c r="E13" s="30"/>
      <c r="F13" s="31">
        <v>3300.0</v>
      </c>
      <c r="G13" s="15"/>
      <c r="H13" s="15"/>
      <c r="I13" s="15"/>
      <c r="J13" s="28">
        <f t="shared" ref="J13:J20" si="2">sum(F13:I13)</f>
        <v>3300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/>
      <c r="B14" s="13" t="s">
        <v>14</v>
      </c>
      <c r="C14" s="8"/>
      <c r="D14" s="8"/>
      <c r="E14" s="30"/>
      <c r="F14" s="31">
        <v>300.0</v>
      </c>
      <c r="G14" s="15"/>
      <c r="H14" s="15"/>
      <c r="I14" s="15"/>
      <c r="J14" s="28">
        <f t="shared" si="2"/>
        <v>300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/>
      <c r="B15" s="13" t="s">
        <v>15</v>
      </c>
      <c r="C15" s="8"/>
      <c r="D15" s="8"/>
      <c r="E15" s="30"/>
      <c r="F15" s="31">
        <v>200.0</v>
      </c>
      <c r="G15" s="15"/>
      <c r="H15" s="15"/>
      <c r="I15" s="15"/>
      <c r="J15" s="28">
        <f t="shared" si="2"/>
        <v>200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/>
      <c r="B16" s="13" t="s">
        <v>16</v>
      </c>
      <c r="C16" s="8"/>
      <c r="D16" s="8"/>
      <c r="E16" s="30"/>
      <c r="F16" s="31">
        <v>300.0</v>
      </c>
      <c r="G16" s="15"/>
      <c r="H16" s="15"/>
      <c r="I16" s="15"/>
      <c r="J16" s="28">
        <f t="shared" si="2"/>
        <v>300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/>
      <c r="B17" s="13" t="s">
        <v>17</v>
      </c>
      <c r="C17" s="8"/>
      <c r="D17" s="8"/>
      <c r="E17" s="30"/>
      <c r="F17" s="31">
        <v>300.0</v>
      </c>
      <c r="G17" s="15"/>
      <c r="H17" s="15"/>
      <c r="I17" s="15"/>
      <c r="J17" s="28">
        <f t="shared" si="2"/>
        <v>300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2"/>
      <c r="B18" s="13" t="s">
        <v>18</v>
      </c>
      <c r="C18" s="8"/>
      <c r="D18" s="8"/>
      <c r="E18" s="30"/>
      <c r="F18" s="31">
        <v>500.0</v>
      </c>
      <c r="G18" s="15"/>
      <c r="H18" s="15"/>
      <c r="I18" s="15"/>
      <c r="J18" s="28">
        <f t="shared" si="2"/>
        <v>500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2"/>
      <c r="B19" s="13" t="s">
        <v>19</v>
      </c>
      <c r="C19" s="8"/>
      <c r="D19" s="8"/>
      <c r="E19" s="30"/>
      <c r="F19" s="31">
        <v>3028.4</v>
      </c>
      <c r="G19" s="15"/>
      <c r="H19" s="15"/>
      <c r="I19" s="15"/>
      <c r="J19" s="28">
        <f t="shared" si="2"/>
        <v>3028.4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9" t="s">
        <v>20</v>
      </c>
      <c r="B20" s="2"/>
      <c r="C20" s="8"/>
      <c r="D20" s="8"/>
      <c r="E20" s="30"/>
      <c r="F20" s="33">
        <f t="shared" ref="F20:I20" si="3">sum(F13:F19)</f>
        <v>7928.4</v>
      </c>
      <c r="G20" s="34">
        <f t="shared" si="3"/>
        <v>0</v>
      </c>
      <c r="H20" s="34">
        <f t="shared" si="3"/>
        <v>0</v>
      </c>
      <c r="I20" s="34">
        <f t="shared" si="3"/>
        <v>0</v>
      </c>
      <c r="J20" s="35">
        <f t="shared" si="2"/>
        <v>7928.4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6"/>
      <c r="B21" s="37"/>
      <c r="C21" s="38"/>
      <c r="D21" s="38"/>
      <c r="E21" s="38"/>
      <c r="F21" s="38"/>
      <c r="G21" s="38"/>
      <c r="H21" s="38"/>
      <c r="I21" s="38"/>
      <c r="J21" s="3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9" t="s">
        <v>21</v>
      </c>
      <c r="B22" s="2"/>
      <c r="C22" s="8"/>
      <c r="D22" s="8"/>
      <c r="E22" s="8"/>
      <c r="F22" s="8"/>
      <c r="G22" s="8"/>
      <c r="H22" s="8"/>
      <c r="I22" s="40"/>
      <c r="J22" s="4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2"/>
      <c r="B23" s="13" t="s">
        <v>22</v>
      </c>
      <c r="C23" s="8"/>
      <c r="D23" s="8"/>
      <c r="E23" s="8"/>
      <c r="F23" s="15"/>
      <c r="G23" s="15"/>
      <c r="H23" s="15"/>
      <c r="I23" s="31">
        <v>350.0</v>
      </c>
      <c r="J23" s="2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2"/>
      <c r="B24" s="13" t="s">
        <v>23</v>
      </c>
      <c r="C24" s="8"/>
      <c r="D24" s="8"/>
      <c r="E24" s="8"/>
      <c r="F24" s="15"/>
      <c r="G24" s="15"/>
      <c r="H24" s="15"/>
      <c r="I24" s="31">
        <v>7.0</v>
      </c>
      <c r="J24" s="2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/>
      <c r="B25" s="42" t="s">
        <v>24</v>
      </c>
      <c r="C25" s="8"/>
      <c r="D25" s="8"/>
      <c r="E25" s="8"/>
      <c r="F25" s="15"/>
      <c r="G25" s="15"/>
      <c r="H25" s="15"/>
      <c r="I25" s="31">
        <v>350.0</v>
      </c>
      <c r="J25" s="2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2"/>
      <c r="B26" s="13" t="s">
        <v>15</v>
      </c>
      <c r="C26" s="8"/>
      <c r="D26" s="8"/>
      <c r="E26" s="8"/>
      <c r="F26" s="15"/>
      <c r="G26" s="15"/>
      <c r="H26" s="15"/>
      <c r="I26" s="31">
        <v>30.0</v>
      </c>
      <c r="J26" s="2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9"/>
      <c r="B27" s="13" t="s">
        <v>25</v>
      </c>
      <c r="C27" s="8"/>
      <c r="D27" s="8"/>
      <c r="E27" s="8"/>
      <c r="F27" s="15"/>
      <c r="G27" s="15"/>
      <c r="H27" s="15"/>
      <c r="I27" s="31">
        <v>20.0</v>
      </c>
      <c r="J27" s="2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9" t="s">
        <v>26</v>
      </c>
      <c r="B28" s="2"/>
      <c r="C28" s="8"/>
      <c r="D28" s="8"/>
      <c r="E28" s="8"/>
      <c r="F28" s="34">
        <f t="shared" ref="F28:H28" si="4">sum(F23:F26)</f>
        <v>0</v>
      </c>
      <c r="G28" s="34">
        <f t="shared" si="4"/>
        <v>0</v>
      </c>
      <c r="H28" s="34">
        <f t="shared" si="4"/>
        <v>0</v>
      </c>
      <c r="I28" s="33">
        <f>sum(I23:I27)</f>
        <v>757</v>
      </c>
      <c r="J28" s="35">
        <f>sum(F28:I28)</f>
        <v>757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6"/>
      <c r="B29" s="37"/>
      <c r="C29" s="38"/>
      <c r="D29" s="38"/>
      <c r="E29" s="38"/>
      <c r="F29" s="38"/>
      <c r="G29" s="38"/>
      <c r="H29" s="38"/>
      <c r="I29" s="38"/>
      <c r="J29" s="3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9" t="s">
        <v>27</v>
      </c>
      <c r="B30" s="2"/>
      <c r="C30" s="8"/>
      <c r="D30" s="8"/>
      <c r="E30" s="8"/>
      <c r="F30" s="8"/>
      <c r="G30" s="8"/>
      <c r="H30" s="40"/>
      <c r="I30" s="8"/>
      <c r="J30" s="4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2"/>
      <c r="B31" s="13" t="s">
        <v>22</v>
      </c>
      <c r="C31" s="8"/>
      <c r="D31" s="8"/>
      <c r="E31" s="8"/>
      <c r="F31" s="15"/>
      <c r="G31" s="15"/>
      <c r="H31" s="31">
        <v>185.83</v>
      </c>
      <c r="I31" s="15"/>
      <c r="J31" s="2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2"/>
      <c r="B32" s="13" t="s">
        <v>23</v>
      </c>
      <c r="C32" s="8"/>
      <c r="D32" s="8"/>
      <c r="E32" s="8"/>
      <c r="F32" s="15"/>
      <c r="G32" s="15"/>
      <c r="H32" s="27">
        <f>(9.57+3.89)/2</f>
        <v>6.73</v>
      </c>
      <c r="I32" s="15"/>
      <c r="J32" s="2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2"/>
      <c r="B33" s="13" t="s">
        <v>15</v>
      </c>
      <c r="C33" s="8"/>
      <c r="D33" s="8"/>
      <c r="E33" s="8"/>
      <c r="F33" s="15"/>
      <c r="G33" s="15"/>
      <c r="H33" s="31">
        <v>25.0</v>
      </c>
      <c r="I33" s="15"/>
      <c r="J33" s="2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2"/>
      <c r="B34" s="13" t="s">
        <v>28</v>
      </c>
      <c r="C34" s="8"/>
      <c r="D34" s="8"/>
      <c r="E34" s="8"/>
      <c r="F34" s="15"/>
      <c r="G34" s="15"/>
      <c r="H34" s="31">
        <v>200.0</v>
      </c>
      <c r="I34" s="15"/>
      <c r="J34" s="2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2"/>
      <c r="B35" s="13" t="s">
        <v>29</v>
      </c>
      <c r="C35" s="8"/>
      <c r="D35" s="8"/>
      <c r="E35" s="8"/>
      <c r="F35" s="15"/>
      <c r="G35" s="15"/>
      <c r="H35" s="31">
        <v>42.375</v>
      </c>
      <c r="I35" s="15"/>
      <c r="J35" s="2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2"/>
      <c r="B36" s="13" t="s">
        <v>30</v>
      </c>
      <c r="C36" s="8"/>
      <c r="D36" s="8"/>
      <c r="E36" s="8"/>
      <c r="F36" s="15"/>
      <c r="G36" s="15"/>
      <c r="H36" s="27">
        <f>(20.33+41.8)/2</f>
        <v>31.065</v>
      </c>
      <c r="I36" s="15"/>
      <c r="J36" s="2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2"/>
      <c r="B37" s="13" t="s">
        <v>17</v>
      </c>
      <c r="C37" s="8"/>
      <c r="D37" s="8"/>
      <c r="E37" s="8"/>
      <c r="F37" s="15"/>
      <c r="G37" s="15"/>
      <c r="H37" s="31">
        <v>30.0</v>
      </c>
      <c r="I37" s="15"/>
      <c r="J37" s="2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2"/>
      <c r="B38" s="13" t="s">
        <v>31</v>
      </c>
      <c r="C38" s="8"/>
      <c r="D38" s="8"/>
      <c r="E38" s="8"/>
      <c r="F38" s="15"/>
      <c r="G38" s="15"/>
      <c r="H38" s="27">
        <f>282.5/2</f>
        <v>141.25</v>
      </c>
      <c r="I38" s="15"/>
      <c r="J38" s="2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9"/>
      <c r="B39" s="13" t="s">
        <v>25</v>
      </c>
      <c r="C39" s="8"/>
      <c r="D39" s="8"/>
      <c r="E39" s="8"/>
      <c r="F39" s="15"/>
      <c r="G39" s="15"/>
      <c r="H39" s="31">
        <v>20.0</v>
      </c>
      <c r="I39" s="15"/>
      <c r="J39" s="2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9" t="s">
        <v>32</v>
      </c>
      <c r="B40" s="2"/>
      <c r="C40" s="8"/>
      <c r="D40" s="8"/>
      <c r="E40" s="8"/>
      <c r="F40" s="34">
        <f t="shared" ref="F40:G40" si="5">sum(F31:F38)</f>
        <v>0</v>
      </c>
      <c r="G40" s="34">
        <f t="shared" si="5"/>
        <v>0</v>
      </c>
      <c r="H40" s="33">
        <f>sum(H31:H39)</f>
        <v>682.25</v>
      </c>
      <c r="I40" s="34">
        <f>sum(I31:I38)</f>
        <v>0</v>
      </c>
      <c r="J40" s="35">
        <f>sum(F40:I40)</f>
        <v>682.25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6"/>
      <c r="B41" s="37"/>
      <c r="C41" s="38"/>
      <c r="D41" s="38"/>
      <c r="E41" s="38"/>
      <c r="F41" s="38"/>
      <c r="G41" s="38"/>
      <c r="H41" s="38"/>
      <c r="I41" s="38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9" t="s">
        <v>33</v>
      </c>
      <c r="B42" s="2"/>
      <c r="C42" s="8"/>
      <c r="D42" s="8"/>
      <c r="E42" s="8"/>
      <c r="F42" s="8"/>
      <c r="G42" s="40"/>
      <c r="H42" s="8"/>
      <c r="I42" s="8"/>
      <c r="J42" s="4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2"/>
      <c r="B43" s="13" t="s">
        <v>16</v>
      </c>
      <c r="C43" s="8"/>
      <c r="D43" s="8"/>
      <c r="E43" s="8"/>
      <c r="F43" s="15"/>
      <c r="G43" s="31">
        <v>100.0</v>
      </c>
      <c r="H43" s="15"/>
      <c r="I43" s="15"/>
      <c r="J43" s="2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2"/>
      <c r="B44" s="13" t="s">
        <v>17</v>
      </c>
      <c r="C44" s="8"/>
      <c r="D44" s="8"/>
      <c r="E44" s="8"/>
      <c r="F44" s="15"/>
      <c r="G44" s="31">
        <v>30.0</v>
      </c>
      <c r="H44" s="15"/>
      <c r="I44" s="15"/>
      <c r="J44" s="2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9"/>
      <c r="B45" s="13" t="s">
        <v>25</v>
      </c>
      <c r="C45" s="8"/>
      <c r="D45" s="8"/>
      <c r="E45" s="8"/>
      <c r="F45" s="15"/>
      <c r="G45" s="31">
        <v>20.0</v>
      </c>
      <c r="H45" s="15"/>
      <c r="I45" s="15"/>
      <c r="J45" s="2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9" t="s">
        <v>34</v>
      </c>
      <c r="B46" s="2"/>
      <c r="C46" s="8"/>
      <c r="D46" s="8"/>
      <c r="E46" s="8"/>
      <c r="F46" s="34">
        <f t="shared" ref="F46:I46" si="6">sum(F43:F44)</f>
        <v>0</v>
      </c>
      <c r="G46" s="33">
        <f t="shared" si="6"/>
        <v>130</v>
      </c>
      <c r="H46" s="34">
        <f t="shared" si="6"/>
        <v>0</v>
      </c>
      <c r="I46" s="34">
        <f t="shared" si="6"/>
        <v>0</v>
      </c>
      <c r="J46" s="35">
        <f>sum(F46:I46)</f>
        <v>130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3"/>
      <c r="B47" s="44"/>
      <c r="C47" s="45"/>
      <c r="D47" s="45"/>
      <c r="E47" s="45"/>
      <c r="F47" s="45"/>
      <c r="G47" s="45"/>
      <c r="H47" s="45"/>
      <c r="I47" s="45"/>
      <c r="J47" s="4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9" t="s">
        <v>35</v>
      </c>
      <c r="B48" s="2"/>
      <c r="C48" s="8"/>
      <c r="D48" s="8"/>
      <c r="E48" s="8"/>
      <c r="F48" s="8"/>
      <c r="G48" s="40"/>
      <c r="H48" s="8"/>
      <c r="I48" s="8"/>
      <c r="J48" s="4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2"/>
      <c r="B49" s="13" t="s">
        <v>22</v>
      </c>
      <c r="C49" s="8"/>
      <c r="D49" s="8"/>
      <c r="E49" s="8"/>
      <c r="F49" s="15"/>
      <c r="G49" s="31">
        <v>350.0</v>
      </c>
      <c r="H49" s="15"/>
      <c r="I49" s="15"/>
      <c r="J49" s="2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2"/>
      <c r="B50" s="13" t="s">
        <v>23</v>
      </c>
      <c r="C50" s="8"/>
      <c r="D50" s="8"/>
      <c r="E50" s="8"/>
      <c r="F50" s="15"/>
      <c r="G50" s="31">
        <v>7.0</v>
      </c>
      <c r="H50" s="15"/>
      <c r="I50" s="15"/>
      <c r="J50" s="2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2"/>
      <c r="B51" s="13" t="s">
        <v>15</v>
      </c>
      <c r="C51" s="8"/>
      <c r="D51" s="8"/>
      <c r="E51" s="8"/>
      <c r="F51" s="15"/>
      <c r="G51" s="31">
        <v>30.0</v>
      </c>
      <c r="H51" s="15"/>
      <c r="I51" s="15"/>
      <c r="J51" s="2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13" t="s">
        <v>14</v>
      </c>
      <c r="C52" s="8"/>
      <c r="D52" s="8"/>
      <c r="E52" s="8"/>
      <c r="F52" s="15"/>
      <c r="G52" s="31">
        <v>50.0</v>
      </c>
      <c r="H52" s="15"/>
      <c r="I52" s="15"/>
      <c r="J52" s="2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2"/>
      <c r="B53" s="13" t="s">
        <v>17</v>
      </c>
      <c r="C53" s="8"/>
      <c r="D53" s="8"/>
      <c r="E53" s="8"/>
      <c r="F53" s="15"/>
      <c r="G53" s="31">
        <v>30.0</v>
      </c>
      <c r="H53" s="15"/>
      <c r="I53" s="15"/>
      <c r="J53" s="2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2"/>
      <c r="B54" s="13" t="s">
        <v>31</v>
      </c>
      <c r="C54" s="8"/>
      <c r="D54" s="8"/>
      <c r="E54" s="8"/>
      <c r="F54" s="15"/>
      <c r="G54" s="31">
        <v>250.0</v>
      </c>
      <c r="H54" s="15"/>
      <c r="I54" s="15"/>
      <c r="J54" s="2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9"/>
      <c r="B55" s="13" t="s">
        <v>25</v>
      </c>
      <c r="C55" s="8"/>
      <c r="D55" s="8"/>
      <c r="E55" s="8"/>
      <c r="F55" s="15"/>
      <c r="G55" s="31">
        <v>20.0</v>
      </c>
      <c r="H55" s="15"/>
      <c r="I55" s="15"/>
      <c r="J55" s="2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9" t="s">
        <v>36</v>
      </c>
      <c r="B56" s="2"/>
      <c r="C56" s="8"/>
      <c r="D56" s="8"/>
      <c r="E56" s="8"/>
      <c r="F56" s="34">
        <f>sum(F49:F54)</f>
        <v>0</v>
      </c>
      <c r="G56" s="33">
        <f>sum(G49:G55)</f>
        <v>737</v>
      </c>
      <c r="H56" s="34">
        <f t="shared" ref="H56:I56" si="7">sum(H49:H54)</f>
        <v>0</v>
      </c>
      <c r="I56" s="34">
        <f t="shared" si="7"/>
        <v>0</v>
      </c>
      <c r="J56" s="35">
        <f>sum(F56:I56)</f>
        <v>737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6"/>
      <c r="B57" s="37"/>
      <c r="C57" s="38"/>
      <c r="D57" s="38"/>
      <c r="E57" s="38"/>
      <c r="F57" s="38"/>
      <c r="G57" s="38"/>
      <c r="H57" s="38"/>
      <c r="I57" s="38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9" t="s">
        <v>37</v>
      </c>
      <c r="B58" s="2"/>
      <c r="C58" s="8"/>
      <c r="D58" s="8"/>
      <c r="E58" s="8"/>
      <c r="F58" s="8"/>
      <c r="G58" s="8"/>
      <c r="H58" s="8"/>
      <c r="I58" s="8"/>
      <c r="J58" s="4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13" t="s">
        <v>38</v>
      </c>
      <c r="C59" s="8"/>
      <c r="D59" s="8"/>
      <c r="E59" s="8"/>
      <c r="F59" s="14">
        <v>90.0</v>
      </c>
      <c r="G59" s="14"/>
      <c r="H59" s="15"/>
      <c r="I59" s="15"/>
      <c r="J59" s="28">
        <f t="shared" ref="J59:J61" si="8">sum(F59:I59)</f>
        <v>90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2"/>
      <c r="B60" s="13" t="s">
        <v>39</v>
      </c>
      <c r="C60" s="8"/>
      <c r="D60" s="8"/>
      <c r="E60" s="8"/>
      <c r="F60" s="14">
        <v>120.0</v>
      </c>
      <c r="G60" s="14"/>
      <c r="H60" s="15"/>
      <c r="I60" s="15"/>
      <c r="J60" s="28">
        <f t="shared" si="8"/>
        <v>120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2"/>
      <c r="B61" s="13" t="s">
        <v>40</v>
      </c>
      <c r="C61" s="8"/>
      <c r="D61" s="8"/>
      <c r="E61" s="8"/>
      <c r="F61" s="14">
        <v>80.0</v>
      </c>
      <c r="G61" s="14"/>
      <c r="H61" s="15"/>
      <c r="I61" s="15"/>
      <c r="J61" s="28">
        <f t="shared" si="8"/>
        <v>80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2"/>
      <c r="B62" s="13" t="s">
        <v>41</v>
      </c>
      <c r="C62" s="8"/>
      <c r="D62" s="8"/>
      <c r="E62" s="8"/>
      <c r="F62" s="14"/>
      <c r="G62" s="14"/>
      <c r="H62" s="15"/>
      <c r="I62" s="14">
        <v>100.0</v>
      </c>
      <c r="J62" s="28">
        <f>sum(G62:I62)</f>
        <v>100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13" t="s">
        <v>42</v>
      </c>
      <c r="C63" s="8"/>
      <c r="D63" s="8"/>
      <c r="E63" s="8"/>
      <c r="F63" s="14">
        <v>212.0</v>
      </c>
      <c r="G63" s="14"/>
      <c r="H63" s="14"/>
      <c r="I63" s="14"/>
      <c r="J63" s="28">
        <f t="shared" ref="J63:J67" si="10">sum(F63:I63)</f>
        <v>212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2"/>
      <c r="B64" s="13" t="s">
        <v>43</v>
      </c>
      <c r="C64" s="8"/>
      <c r="D64" s="8"/>
      <c r="E64" s="8"/>
      <c r="F64" s="14">
        <f t="shared" ref="F64:I64" si="9">19.99*1.13</f>
        <v>22.5887</v>
      </c>
      <c r="G64" s="14">
        <f t="shared" si="9"/>
        <v>22.5887</v>
      </c>
      <c r="H64" s="14">
        <f t="shared" si="9"/>
        <v>22.5887</v>
      </c>
      <c r="I64" s="14">
        <f t="shared" si="9"/>
        <v>22.5887</v>
      </c>
      <c r="J64" s="28">
        <f t="shared" si="10"/>
        <v>90.3548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"/>
      <c r="B65" s="13" t="s">
        <v>44</v>
      </c>
      <c r="C65" s="8"/>
      <c r="D65" s="8"/>
      <c r="E65" s="8"/>
      <c r="F65" s="14">
        <v>33.9</v>
      </c>
      <c r="G65" s="14">
        <v>33.9</v>
      </c>
      <c r="H65" s="14">
        <v>33.9</v>
      </c>
      <c r="I65" s="14">
        <v>33.9</v>
      </c>
      <c r="J65" s="28">
        <f t="shared" si="10"/>
        <v>135.6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"/>
      <c r="B66" s="13" t="s">
        <v>45</v>
      </c>
      <c r="C66" s="8"/>
      <c r="D66" s="8"/>
      <c r="E66" s="8"/>
      <c r="F66" s="15"/>
      <c r="G66" s="15"/>
      <c r="H66" s="14">
        <v>300.0</v>
      </c>
      <c r="I66" s="15"/>
      <c r="J66" s="28">
        <f t="shared" si="10"/>
        <v>300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13" t="s">
        <v>46</v>
      </c>
      <c r="C67" s="8"/>
      <c r="D67" s="8"/>
      <c r="E67" s="8"/>
      <c r="F67" s="14">
        <v>6.0</v>
      </c>
      <c r="G67" s="14">
        <v>6.0</v>
      </c>
      <c r="H67" s="14">
        <v>6.0</v>
      </c>
      <c r="I67" s="14">
        <v>6.0</v>
      </c>
      <c r="J67" s="28">
        <f t="shared" si="10"/>
        <v>24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9" t="s">
        <v>47</v>
      </c>
      <c r="B68" s="2"/>
      <c r="C68" s="8"/>
      <c r="D68" s="8"/>
      <c r="E68" s="8"/>
      <c r="F68" s="34">
        <f t="shared" ref="F68:I68" si="11">sum(F59:F67)</f>
        <v>564.4887</v>
      </c>
      <c r="G68" s="34">
        <f t="shared" si="11"/>
        <v>62.4887</v>
      </c>
      <c r="H68" s="34">
        <f t="shared" si="11"/>
        <v>362.4887</v>
      </c>
      <c r="I68" s="34">
        <f t="shared" si="11"/>
        <v>162.4887</v>
      </c>
      <c r="J68" s="35">
        <f>SUM(F68:I68)</f>
        <v>1151.9548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2"/>
      <c r="B69" s="2"/>
      <c r="C69" s="8"/>
      <c r="D69" s="8"/>
      <c r="E69" s="8"/>
      <c r="F69" s="15"/>
      <c r="G69" s="15"/>
      <c r="H69" s="15"/>
      <c r="I69" s="15"/>
      <c r="J69" s="28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7" t="s">
        <v>48</v>
      </c>
      <c r="B70" s="48"/>
      <c r="C70" s="48"/>
      <c r="D70" s="48"/>
      <c r="E70" s="48"/>
      <c r="F70" s="49">
        <f t="shared" ref="F70:J70" si="12">sum(F20,F28,F40,F46,F56,F68)</f>
        <v>8492.8887</v>
      </c>
      <c r="G70" s="49">
        <f t="shared" si="12"/>
        <v>929.4887</v>
      </c>
      <c r="H70" s="49">
        <f t="shared" si="12"/>
        <v>1044.7387</v>
      </c>
      <c r="I70" s="49">
        <f t="shared" si="12"/>
        <v>919.4887</v>
      </c>
      <c r="J70" s="50">
        <f t="shared" si="12"/>
        <v>11386.6048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1"/>
      <c r="B71" s="52"/>
      <c r="C71" s="52"/>
      <c r="D71" s="52"/>
      <c r="E71" s="52"/>
      <c r="F71" s="52"/>
      <c r="G71" s="52"/>
      <c r="H71" s="52"/>
      <c r="I71" s="52"/>
      <c r="J71" s="5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4" t="s">
        <v>49</v>
      </c>
      <c r="B72" s="8"/>
      <c r="C72" s="8"/>
      <c r="D72" s="8"/>
      <c r="E72" s="8"/>
      <c r="F72" s="8"/>
      <c r="G72" s="8"/>
      <c r="H72" s="8"/>
      <c r="I72" s="8"/>
      <c r="J72" s="16">
        <f>J9-J70</f>
        <v>-2986.6048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4" t="s">
        <v>50</v>
      </c>
      <c r="B73" s="8"/>
      <c r="C73" s="8"/>
      <c r="D73" s="8"/>
      <c r="E73" s="8"/>
      <c r="F73" s="8"/>
      <c r="G73" s="8"/>
      <c r="H73" s="8"/>
      <c r="I73" s="8"/>
      <c r="J73" s="55">
        <v>3000.0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6" t="s">
        <v>51</v>
      </c>
      <c r="B74" s="57"/>
      <c r="C74" s="57"/>
      <c r="D74" s="57"/>
      <c r="E74" s="57"/>
      <c r="F74" s="57"/>
      <c r="G74" s="57"/>
      <c r="H74" s="57"/>
      <c r="I74" s="57"/>
      <c r="J74" s="58">
        <f>sum(J72:J73)</f>
        <v>13.3952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9" t="s">
        <v>52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 t="s">
        <v>53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 t="s">
        <v>54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 t="s">
        <v>55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</sheetData>
  <mergeCells count="1">
    <mergeCell ref="A4:J4"/>
  </mergeCells>
  <hyperlinks>
    <hyperlink r:id="rId1" ref="B25"/>
  </hyperlinks>
  <drawing r:id="rId2"/>
  <tableParts count="2">
    <tablePart r:id="rId5"/>
    <tablePart r:id="rId6"/>
  </tableParts>
</worksheet>
</file>